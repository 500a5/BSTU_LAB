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яУНИВЕР\мага\2 куср 1 сем\нечеткое моделирование\лаб 3\"/>
    </mc:Choice>
  </mc:AlternateContent>
  <xr:revisionPtr revIDLastSave="0" documentId="13_ncr:1_{36E523F6-A1BE-4A22-81AF-0F75C94FBEDF}" xr6:coauthVersionLast="47" xr6:coauthVersionMax="47" xr10:uidLastSave="{00000000-0000-0000-0000-000000000000}"/>
  <bookViews>
    <workbookView xWindow="2310" yWindow="2310" windowWidth="21585" windowHeight="11295" activeTab="4" xr2:uid="{CAD9DD1D-6021-D946-B5E3-1E05346A00FC}"/>
  </bookViews>
  <sheets>
    <sheet name="Лист1" sheetId="1" r:id="rId1"/>
    <sheet name="Лист1 (2)" sheetId="2" r:id="rId2"/>
    <sheet name="Лист1 (3)" sheetId="3" r:id="rId3"/>
    <sheet name="Лист1 (4)" sheetId="4" r:id="rId4"/>
    <sheet name="Лист1 (5)" sheetId="5" r:id="rId5"/>
    <sheet name="Лист1 (6)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6" i="5"/>
  <c r="D5" i="5"/>
  <c r="D4" i="5"/>
  <c r="D3" i="5"/>
  <c r="D2" i="5"/>
  <c r="D7" i="4"/>
  <c r="D6" i="4"/>
  <c r="D5" i="4"/>
  <c r="D4" i="4"/>
  <c r="D3" i="4"/>
  <c r="D2" i="4"/>
  <c r="D8" i="3"/>
  <c r="D7" i="3"/>
  <c r="D6" i="3"/>
  <c r="D5" i="3"/>
  <c r="D4" i="3"/>
  <c r="D3" i="3"/>
  <c r="D2" i="3"/>
  <c r="D8" i="2"/>
  <c r="D7" i="2"/>
  <c r="D6" i="2"/>
  <c r="D5" i="2"/>
  <c r="D4" i="2"/>
  <c r="D3" i="2"/>
  <c r="D2" i="2"/>
  <c r="D5" i="1"/>
  <c r="D6" i="1"/>
  <c r="D7" i="1"/>
  <c r="D8" i="1"/>
  <c r="D2" i="1"/>
  <c r="B3" i="6"/>
  <c r="C3" i="6"/>
  <c r="E3" i="6"/>
  <c r="F3" i="6"/>
  <c r="B4" i="6"/>
  <c r="C4" i="6"/>
  <c r="E4" i="6"/>
  <c r="F4" i="6"/>
  <c r="B5" i="6"/>
  <c r="C5" i="6"/>
  <c r="E5" i="6"/>
  <c r="F5" i="6"/>
  <c r="B6" i="6"/>
  <c r="C6" i="6"/>
  <c r="E6" i="6"/>
  <c r="F6" i="6"/>
  <c r="B7" i="6"/>
  <c r="C7" i="6"/>
  <c r="E7" i="6"/>
  <c r="F7" i="6"/>
  <c r="B8" i="6"/>
  <c r="C8" i="6"/>
  <c r="E8" i="6"/>
  <c r="F8" i="6"/>
  <c r="B9" i="6"/>
  <c r="C9" i="6"/>
  <c r="E9" i="6"/>
  <c r="F9" i="6"/>
  <c r="B10" i="6"/>
  <c r="C10" i="6"/>
  <c r="E10" i="6"/>
  <c r="F10" i="6"/>
  <c r="B11" i="6"/>
  <c r="C11" i="6"/>
  <c r="E11" i="6"/>
  <c r="F11" i="6"/>
  <c r="B12" i="6"/>
  <c r="C12" i="6"/>
  <c r="E12" i="6"/>
  <c r="F12" i="6"/>
  <c r="F2" i="6"/>
  <c r="E2" i="6"/>
  <c r="C2" i="6"/>
  <c r="B2" i="6"/>
  <c r="B6" i="5"/>
  <c r="C6" i="5" s="1"/>
  <c r="B5" i="5"/>
  <c r="C5" i="5" s="1"/>
  <c r="B4" i="5"/>
  <c r="C4" i="5" s="1"/>
  <c r="B3" i="5"/>
  <c r="C3" i="5" s="1"/>
  <c r="B2" i="5"/>
  <c r="C2" i="5" s="1"/>
  <c r="B7" i="4"/>
  <c r="C7" i="4" s="1"/>
  <c r="B6" i="4"/>
  <c r="C6" i="4" s="1"/>
  <c r="B5" i="4"/>
  <c r="C5" i="4" s="1"/>
  <c r="B4" i="4"/>
  <c r="C4" i="4" s="1"/>
  <c r="B3" i="4"/>
  <c r="C3" i="4" s="1"/>
  <c r="B2" i="4"/>
  <c r="C2" i="4" s="1"/>
  <c r="B8" i="3"/>
  <c r="C8" i="3" s="1"/>
  <c r="B7" i="3"/>
  <c r="C7" i="3" s="1"/>
  <c r="B6" i="3"/>
  <c r="C6" i="3" s="1"/>
  <c r="B5" i="3"/>
  <c r="C5" i="3" s="1"/>
  <c r="B4" i="3"/>
  <c r="C4" i="3" s="1"/>
  <c r="B3" i="3"/>
  <c r="C3" i="3" s="1"/>
  <c r="B2" i="3"/>
  <c r="C2" i="3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B2" i="2"/>
  <c r="C2" i="2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2" i="1"/>
  <c r="C2" i="1" s="1"/>
</calcChain>
</file>

<file path=xl/sharedStrings.xml><?xml version="1.0" encoding="utf-8"?>
<sst xmlns="http://schemas.openxmlformats.org/spreadsheetml/2006/main" count="41" uniqueCount="24">
  <si>
    <t>x</t>
  </si>
  <si>
    <t>a</t>
  </si>
  <si>
    <t>b</t>
  </si>
  <si>
    <t>Большое (А5)</t>
  </si>
  <si>
    <t>Маленькое (А`5)</t>
  </si>
  <si>
    <t>Удовлетворительный (B1)</t>
  </si>
  <si>
    <t>Более чем удовлетворительный (B2)</t>
  </si>
  <si>
    <t>Безупречный (B3)</t>
  </si>
  <si>
    <t>Очень удовлетворительный (B4)</t>
  </si>
  <si>
    <t>Неудовлетворительный (B5)</t>
  </si>
  <si>
    <t>x1</t>
  </si>
  <si>
    <t>x2</t>
  </si>
  <si>
    <t>x3</t>
  </si>
  <si>
    <t>х4</t>
  </si>
  <si>
    <t>х</t>
  </si>
  <si>
    <t>х5</t>
  </si>
  <si>
    <t>Большое (А4)</t>
  </si>
  <si>
    <t>Маленькое (А`4)</t>
  </si>
  <si>
    <t>Быстрый (А3)</t>
  </si>
  <si>
    <t>Медленный (А`3)</t>
  </si>
  <si>
    <t>Высокое(А2)</t>
  </si>
  <si>
    <t>Низкое(А`2)</t>
  </si>
  <si>
    <t>Небольшая(А1)</t>
  </si>
  <si>
    <t>Большая(А`1)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</si>
</sst>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2" fontId="0" fillId="0" borderId="0" xfId="0" applyNumberFormat="1"/>
    <xf numFmtId="43" fontId="0" fillId="0" borderId="0" xfId="1" applyFont="1"/>
    <xf numFmtId="2" fontId="0" fillId="0" borderId="0" xfId="1" applyNumberFormat="1" applyFont="1"/>
    <xf numFmtId="2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Стоимость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Небольшая(А1)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Лист1!$A$2:$A$8</c:f>
              <c:numCache>
                <c:formatCode>General</c:formatCode>
                <c:ptCount val="7"/>
                <c:pt idx="0">
                  <c:v>17000</c:v>
                </c:pt>
                <c:pt idx="1">
                  <c:v>20000</c:v>
                </c:pt>
                <c:pt idx="2">
                  <c:v>23000</c:v>
                </c:pt>
                <c:pt idx="3">
                  <c:v>26000</c:v>
                </c:pt>
                <c:pt idx="4">
                  <c:v>29000</c:v>
                </c:pt>
                <c:pt idx="5">
                  <c:v>32000</c:v>
                </c:pt>
                <c:pt idx="6">
                  <c:v>35000</c:v>
                </c:pt>
              </c:numCache>
            </c:numRef>
          </c:cat>
          <c:val>
            <c:numRef>
              <c:f>Лист1!$B$2:$B$8</c:f>
              <c:numCache>
                <c:formatCode>General</c:formatCode>
                <c:ptCount val="7"/>
                <c:pt idx="0">
                  <c:v>1</c:v>
                </c:pt>
                <c:pt idx="1">
                  <c:v>0.835270211411272</c:v>
                </c:pt>
                <c:pt idx="2">
                  <c:v>0.48675225595997168</c:v>
                </c:pt>
                <c:pt idx="3">
                  <c:v>0.19789869908361465</c:v>
                </c:pt>
                <c:pt idx="4">
                  <c:v>5.6134762834133725E-2</c:v>
                </c:pt>
                <c:pt idx="5">
                  <c:v>1.1108996538242306E-2</c:v>
                </c:pt>
                <c:pt idx="6">
                  <c:v>1.533810679324463E-3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9-0945-B7ED-30870DBD02E7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Большая(А`1)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Лист1!$A$2:$A$8</c:f>
              <c:numCache>
                <c:formatCode>General</c:formatCode>
                <c:ptCount val="7"/>
                <c:pt idx="0">
                  <c:v>17000</c:v>
                </c:pt>
                <c:pt idx="1">
                  <c:v>20000</c:v>
                </c:pt>
                <c:pt idx="2">
                  <c:v>23000</c:v>
                </c:pt>
                <c:pt idx="3">
                  <c:v>26000</c:v>
                </c:pt>
                <c:pt idx="4">
                  <c:v>29000</c:v>
                </c:pt>
                <c:pt idx="5">
                  <c:v>32000</c:v>
                </c:pt>
                <c:pt idx="6">
                  <c:v>35000</c:v>
                </c:pt>
              </c:numCache>
            </c:numRef>
          </c:cat>
          <c:val>
            <c:numRef>
              <c:f>Лист1!$C$2:$C$8</c:f>
              <c:numCache>
                <c:formatCode>General</c:formatCode>
                <c:ptCount val="7"/>
                <c:pt idx="0">
                  <c:v>0</c:v>
                </c:pt>
                <c:pt idx="1">
                  <c:v>0.164729788588728</c:v>
                </c:pt>
                <c:pt idx="2">
                  <c:v>0.51324774404002826</c:v>
                </c:pt>
                <c:pt idx="3">
                  <c:v>0.80210130091638532</c:v>
                </c:pt>
                <c:pt idx="4">
                  <c:v>0.94386523716586623</c:v>
                </c:pt>
                <c:pt idx="5">
                  <c:v>0.98889100346175773</c:v>
                </c:pt>
                <c:pt idx="6">
                  <c:v>0.99846618932067555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9-0945-B7ED-30870DBD02E7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x1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Лист1!$A$2:$A$8</c:f>
              <c:numCache>
                <c:formatCode>General</c:formatCode>
                <c:ptCount val="7"/>
                <c:pt idx="0">
                  <c:v>17000</c:v>
                </c:pt>
                <c:pt idx="1">
                  <c:v>20000</c:v>
                </c:pt>
                <c:pt idx="2">
                  <c:v>23000</c:v>
                </c:pt>
                <c:pt idx="3">
                  <c:v>26000</c:v>
                </c:pt>
                <c:pt idx="4">
                  <c:v>29000</c:v>
                </c:pt>
                <c:pt idx="5">
                  <c:v>32000</c:v>
                </c:pt>
                <c:pt idx="6">
                  <c:v>35000</c:v>
                </c:pt>
              </c:numCache>
            </c:numRef>
          </c:cat>
          <c:val>
            <c:numRef>
              <c:f>Лист1!$D$2:$D$8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79-0945-B7ED-30870DBD0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162368"/>
        <c:axId val="848164016"/>
      </c:lineChart>
      <c:catAx>
        <c:axId val="8481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4016"/>
        <c:crosses val="autoZero"/>
        <c:auto val="1"/>
        <c:lblAlgn val="ctr"/>
        <c:lblOffset val="100"/>
        <c:noMultiLvlLbl val="0"/>
      </c:catAx>
      <c:valAx>
        <c:axId val="84816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Качество экрна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'Лист1 (2)'!$B$1</c:f>
              <c:strCache>
                <c:ptCount val="1"/>
                <c:pt idx="0">
                  <c:v>Высокое(А2)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'Лист1 (2)'!$A$2:$A$8</c:f>
              <c:numCache>
                <c:formatCode>_(* #,##0.00_);_(* \(#,##0.00\);_(* "-"??_);_(@_)</c:formatCode>
                <c:ptCount val="7"/>
                <c:pt idx="0" formatCode="General">
                  <c:v>390</c:v>
                </c:pt>
                <c:pt idx="1">
                  <c:v>395</c:v>
                </c:pt>
                <c:pt idx="2" formatCode="General">
                  <c:v>400</c:v>
                </c:pt>
                <c:pt idx="3">
                  <c:v>405</c:v>
                </c:pt>
                <c:pt idx="4" formatCode="General">
                  <c:v>410</c:v>
                </c:pt>
                <c:pt idx="5">
                  <c:v>415</c:v>
                </c:pt>
                <c:pt idx="6" formatCode="General">
                  <c:v>420</c:v>
                </c:pt>
              </c:numCache>
            </c:numRef>
          </c:cat>
          <c:val>
            <c:numRef>
              <c:f>'Лист1 (2)'!$B$2:$B$8</c:f>
              <c:numCache>
                <c:formatCode>General</c:formatCode>
                <c:ptCount val="7"/>
                <c:pt idx="0">
                  <c:v>1.1108996538242306E-2</c:v>
                </c:pt>
                <c:pt idx="1">
                  <c:v>4.393693362340742E-2</c:v>
                </c:pt>
                <c:pt idx="2">
                  <c:v>0.1353352832366127</c:v>
                </c:pt>
                <c:pt idx="3">
                  <c:v>0.32465246735834974</c:v>
                </c:pt>
                <c:pt idx="4">
                  <c:v>0.60653065971263342</c:v>
                </c:pt>
                <c:pt idx="5">
                  <c:v>0.88249690258459546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0-204F-A2BB-53E9C8DE009A}"/>
            </c:ext>
          </c:extLst>
        </c:ser>
        <c:ser>
          <c:idx val="1"/>
          <c:order val="1"/>
          <c:tx>
            <c:strRef>
              <c:f>'Лист1 (2)'!$C$1</c:f>
              <c:strCache>
                <c:ptCount val="1"/>
                <c:pt idx="0">
                  <c:v>Низкое(А`2)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'Лист1 (2)'!$A$2:$A$8</c:f>
              <c:numCache>
                <c:formatCode>_(* #,##0.00_);_(* \(#,##0.00\);_(* "-"??_);_(@_)</c:formatCode>
                <c:ptCount val="7"/>
                <c:pt idx="0" formatCode="General">
                  <c:v>390</c:v>
                </c:pt>
                <c:pt idx="1">
                  <c:v>395</c:v>
                </c:pt>
                <c:pt idx="2" formatCode="General">
                  <c:v>400</c:v>
                </c:pt>
                <c:pt idx="3">
                  <c:v>405</c:v>
                </c:pt>
                <c:pt idx="4" formatCode="General">
                  <c:v>410</c:v>
                </c:pt>
                <c:pt idx="5">
                  <c:v>415</c:v>
                </c:pt>
                <c:pt idx="6" formatCode="General">
                  <c:v>420</c:v>
                </c:pt>
              </c:numCache>
            </c:numRef>
          </c:cat>
          <c:val>
            <c:numRef>
              <c:f>'Лист1 (2)'!$C$2:$C$8</c:f>
              <c:numCache>
                <c:formatCode>General</c:formatCode>
                <c:ptCount val="7"/>
                <c:pt idx="0">
                  <c:v>0.98889100346175773</c:v>
                </c:pt>
                <c:pt idx="1">
                  <c:v>0.95606306637659255</c:v>
                </c:pt>
                <c:pt idx="2">
                  <c:v>0.8646647167633873</c:v>
                </c:pt>
                <c:pt idx="3">
                  <c:v>0.67534753264165026</c:v>
                </c:pt>
                <c:pt idx="4">
                  <c:v>0.39346934028736658</c:v>
                </c:pt>
                <c:pt idx="5">
                  <c:v>0.11750309741540454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0-204F-A2BB-53E9C8DE0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162368"/>
        <c:axId val="848164016"/>
      </c:lineChart>
      <c:catAx>
        <c:axId val="8481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4016"/>
        <c:crosses val="autoZero"/>
        <c:auto val="1"/>
        <c:lblAlgn val="ctr"/>
        <c:lblOffset val="100"/>
        <c:noMultiLvlLbl val="0"/>
      </c:catAx>
      <c:valAx>
        <c:axId val="84816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Процессор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'Лист1 (3)'!$B$1</c:f>
              <c:strCache>
                <c:ptCount val="1"/>
                <c:pt idx="0">
                  <c:v>Быстрый (А3)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'Лист1 (3)'!$A$2:$A$8</c:f>
              <c:numCache>
                <c:formatCode>0.00</c:formatCode>
                <c:ptCount val="7"/>
                <c:pt idx="0" formatCode="General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</c:numCache>
            </c:numRef>
          </c:cat>
          <c:val>
            <c:numRef>
              <c:f>'Лист1 (3)'!$B$2:$B$8</c:f>
              <c:numCache>
                <c:formatCode>General</c:formatCode>
                <c:ptCount val="7"/>
                <c:pt idx="0">
                  <c:v>0.88249690258459623</c:v>
                </c:pt>
                <c:pt idx="1">
                  <c:v>0.88249690258459423</c:v>
                </c:pt>
                <c:pt idx="2">
                  <c:v>0.32465246735834807</c:v>
                </c:pt>
                <c:pt idx="3">
                  <c:v>4.3936933623407434E-2</c:v>
                </c:pt>
                <c:pt idx="4">
                  <c:v>2.1874911181828812E-3</c:v>
                </c:pt>
                <c:pt idx="5">
                  <c:v>4.0065297392950852E-5</c:v>
                </c:pt>
                <c:pt idx="6">
                  <c:v>2.6995785033629855E-7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D-7E48-AC4C-6F854BC0ECD3}"/>
            </c:ext>
          </c:extLst>
        </c:ser>
        <c:ser>
          <c:idx val="1"/>
          <c:order val="1"/>
          <c:tx>
            <c:strRef>
              <c:f>'Лист1 (3)'!$C$1</c:f>
              <c:strCache>
                <c:ptCount val="1"/>
                <c:pt idx="0">
                  <c:v>Медленный (А`3)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'Лист1 (3)'!$A$2:$A$8</c:f>
              <c:numCache>
                <c:formatCode>0.00</c:formatCode>
                <c:ptCount val="7"/>
                <c:pt idx="0" formatCode="General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</c:numCache>
            </c:numRef>
          </c:cat>
          <c:val>
            <c:numRef>
              <c:f>'Лист1 (3)'!$C$2:$C$12</c:f>
              <c:numCache>
                <c:formatCode>General</c:formatCode>
                <c:ptCount val="11"/>
                <c:pt idx="0">
                  <c:v>0.11750309741540377</c:v>
                </c:pt>
                <c:pt idx="1">
                  <c:v>0.11750309741540577</c:v>
                </c:pt>
                <c:pt idx="2">
                  <c:v>0.67534753264165193</c:v>
                </c:pt>
                <c:pt idx="3">
                  <c:v>0.95606306637659255</c:v>
                </c:pt>
                <c:pt idx="4">
                  <c:v>0.99781250888181716</c:v>
                </c:pt>
                <c:pt idx="5">
                  <c:v>0.99995993470260702</c:v>
                </c:pt>
                <c:pt idx="6">
                  <c:v>0.9999997300421497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D-7E48-AC4C-6F854BC0E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162368"/>
        <c:axId val="848164016"/>
      </c:lineChart>
      <c:catAx>
        <c:axId val="8481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4016"/>
        <c:crosses val="autoZero"/>
        <c:auto val="1"/>
        <c:lblAlgn val="ctr"/>
        <c:lblOffset val="100"/>
        <c:noMultiLvlLbl val="0"/>
      </c:catAx>
      <c:valAx>
        <c:axId val="84816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Колличество</a:t>
            </a:r>
            <a:r>
              <a:rPr lang="ru-RU" baseline="0"/>
              <a:t> оперативной памяти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'Лист1 (4)'!$B$1</c:f>
              <c:strCache>
                <c:ptCount val="1"/>
                <c:pt idx="0">
                  <c:v>Большое (А4)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'Лист1 (4)'!$A$2:$A$7</c:f>
              <c:numCache>
                <c:formatCode>_(* #,##0.00_);_(* \(#,##0.00\);_(* "-"??_);_(@_)</c:formatCode>
                <c:ptCount val="6"/>
                <c:pt idx="0" formatCode="General">
                  <c:v>0</c:v>
                </c:pt>
                <c:pt idx="1">
                  <c:v>2</c:v>
                </c:pt>
                <c:pt idx="2" formatCode="General">
                  <c:v>4</c:v>
                </c:pt>
                <c:pt idx="3">
                  <c:v>6</c:v>
                </c:pt>
                <c:pt idx="4" formatCode="General">
                  <c:v>8</c:v>
                </c:pt>
                <c:pt idx="5">
                  <c:v>10</c:v>
                </c:pt>
              </c:numCache>
            </c:numRef>
          </c:cat>
          <c:val>
            <c:numRef>
              <c:f>'Лист1 (4)'!$B$2:$B$7</c:f>
              <c:numCache>
                <c:formatCode>General</c:formatCode>
                <c:ptCount val="6"/>
                <c:pt idx="0">
                  <c:v>3.7266531720786709E-6</c:v>
                </c:pt>
                <c:pt idx="1">
                  <c:v>3.3546262790251185E-4</c:v>
                </c:pt>
                <c:pt idx="2">
                  <c:v>1.1108996538242306E-2</c:v>
                </c:pt>
                <c:pt idx="3">
                  <c:v>0.1353352832366127</c:v>
                </c:pt>
                <c:pt idx="4">
                  <c:v>0.60653065971263342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8-314E-9BA9-30383A16F173}"/>
            </c:ext>
          </c:extLst>
        </c:ser>
        <c:ser>
          <c:idx val="1"/>
          <c:order val="1"/>
          <c:tx>
            <c:strRef>
              <c:f>'Лист1 (4)'!$C$1</c:f>
              <c:strCache>
                <c:ptCount val="1"/>
                <c:pt idx="0">
                  <c:v>Маленькое (А`4)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'Лист1 (4)'!$A$2:$A$7</c:f>
              <c:numCache>
                <c:formatCode>_(* #,##0.00_);_(* \(#,##0.00\);_(* "-"??_);_(@_)</c:formatCode>
                <c:ptCount val="6"/>
                <c:pt idx="0" formatCode="General">
                  <c:v>0</c:v>
                </c:pt>
                <c:pt idx="1">
                  <c:v>2</c:v>
                </c:pt>
                <c:pt idx="2" formatCode="General">
                  <c:v>4</c:v>
                </c:pt>
                <c:pt idx="3">
                  <c:v>6</c:v>
                </c:pt>
                <c:pt idx="4" formatCode="General">
                  <c:v>8</c:v>
                </c:pt>
                <c:pt idx="5">
                  <c:v>10</c:v>
                </c:pt>
              </c:numCache>
            </c:numRef>
          </c:cat>
          <c:val>
            <c:numRef>
              <c:f>'Лист1 (4)'!$C$2:$C$7</c:f>
              <c:numCache>
                <c:formatCode>General</c:formatCode>
                <c:ptCount val="6"/>
                <c:pt idx="0">
                  <c:v>0.99999627334682795</c:v>
                </c:pt>
                <c:pt idx="1">
                  <c:v>0.99966453737209748</c:v>
                </c:pt>
                <c:pt idx="2">
                  <c:v>0.98889100346175773</c:v>
                </c:pt>
                <c:pt idx="3">
                  <c:v>0.8646647167633873</c:v>
                </c:pt>
                <c:pt idx="4">
                  <c:v>0.39346934028736658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8-314E-9BA9-30383A16F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162368"/>
        <c:axId val="848164016"/>
      </c:lineChart>
      <c:catAx>
        <c:axId val="8481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4016"/>
        <c:crosses val="autoZero"/>
        <c:auto val="1"/>
        <c:lblAlgn val="ctr"/>
        <c:lblOffset val="100"/>
        <c:noMultiLvlLbl val="0"/>
      </c:catAx>
      <c:valAx>
        <c:axId val="84816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Время работы от аккумулятора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'Лист1 (5)'!$B$1</c:f>
              <c:strCache>
                <c:ptCount val="1"/>
                <c:pt idx="0">
                  <c:v>Большое (А5)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'Лист1 (5)'!$A$2:$A$6</c:f>
              <c:numCache>
                <c:formatCode>_(* #,##0.00_);_(* \(#,##0.00\);_(* "-"??_);_(@_)</c:formatCode>
                <c:ptCount val="5"/>
                <c:pt idx="0" formatCode="General">
                  <c:v>20</c:v>
                </c:pt>
                <c:pt idx="1">
                  <c:v>30</c:v>
                </c:pt>
                <c:pt idx="2" formatCode="General">
                  <c:v>40</c:v>
                </c:pt>
                <c:pt idx="3">
                  <c:v>50</c:v>
                </c:pt>
                <c:pt idx="4" formatCode="General">
                  <c:v>60</c:v>
                </c:pt>
              </c:numCache>
            </c:numRef>
          </c:cat>
          <c:val>
            <c:numRef>
              <c:f>'Лист1 (5)'!$B$2:$B$7</c:f>
              <c:numCache>
                <c:formatCode>General</c:formatCode>
                <c:ptCount val="6"/>
                <c:pt idx="0">
                  <c:v>5.6134762834133725E-2</c:v>
                </c:pt>
                <c:pt idx="1">
                  <c:v>0.22263486587889095</c:v>
                </c:pt>
                <c:pt idx="2">
                  <c:v>0.56615414951719756</c:v>
                </c:pt>
                <c:pt idx="3">
                  <c:v>0.92311634638663576</c:v>
                </c:pt>
                <c:pt idx="4">
                  <c:v>0.96506911778968041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E-3B40-9EAF-79456EF72F62}"/>
            </c:ext>
          </c:extLst>
        </c:ser>
        <c:ser>
          <c:idx val="1"/>
          <c:order val="1"/>
          <c:tx>
            <c:strRef>
              <c:f>'Лист1 (5)'!$C$1</c:f>
              <c:strCache>
                <c:ptCount val="1"/>
                <c:pt idx="0">
                  <c:v>Маленькое (А`5)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'Лист1 (5)'!$A$2:$A$6</c:f>
              <c:numCache>
                <c:formatCode>_(* #,##0.00_);_(* \(#,##0.00\);_(* "-"??_);_(@_)</c:formatCode>
                <c:ptCount val="5"/>
                <c:pt idx="0" formatCode="General">
                  <c:v>20</c:v>
                </c:pt>
                <c:pt idx="1">
                  <c:v>30</c:v>
                </c:pt>
                <c:pt idx="2" formatCode="General">
                  <c:v>40</c:v>
                </c:pt>
                <c:pt idx="3">
                  <c:v>50</c:v>
                </c:pt>
                <c:pt idx="4" formatCode="General">
                  <c:v>60</c:v>
                </c:pt>
              </c:numCache>
            </c:numRef>
          </c:cat>
          <c:val>
            <c:numRef>
              <c:f>'Лист1 (5)'!$C$2:$C$6</c:f>
              <c:numCache>
                <c:formatCode>General</c:formatCode>
                <c:ptCount val="5"/>
                <c:pt idx="0">
                  <c:v>0.94386523716586623</c:v>
                </c:pt>
                <c:pt idx="1">
                  <c:v>0.77736513412110908</c:v>
                </c:pt>
                <c:pt idx="2">
                  <c:v>0.43384585048280244</c:v>
                </c:pt>
                <c:pt idx="3">
                  <c:v>7.6883653613364245E-2</c:v>
                </c:pt>
                <c:pt idx="4">
                  <c:v>3.4930882210319592E-2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E-3B40-9EAF-79456EF72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162368"/>
        <c:axId val="848164016"/>
      </c:lineChart>
      <c:catAx>
        <c:axId val="8481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4016"/>
        <c:crosses val="autoZero"/>
        <c:auto val="1"/>
        <c:lblAlgn val="ctr"/>
        <c:lblOffset val="100"/>
        <c:noMultiLvlLbl val="0"/>
      </c:catAx>
      <c:valAx>
        <c:axId val="84816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поддерживаемых языков программирования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'Лист1 (6)'!$B$1</c:f>
              <c:strCache>
                <c:ptCount val="1"/>
                <c:pt idx="0">
                  <c:v>Удовлетворительный (B1)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'Лист1 (6)'!$A$2:$A$12</c:f>
              <c:numCache>
                <c:formatCode>_(* #,##0.00_);_(* \(#,##0.00\);_(* "-"??_);_(@_)</c:formatCode>
                <c:ptCount val="11"/>
                <c:pt idx="0" formatCode="General">
                  <c:v>0</c:v>
                </c:pt>
                <c:pt idx="1">
                  <c:v>0.1</c:v>
                </c:pt>
                <c:pt idx="2" formatCode="General">
                  <c:v>0.2</c:v>
                </c:pt>
                <c:pt idx="3">
                  <c:v>0.3</c:v>
                </c:pt>
                <c:pt idx="4" formatCode="General">
                  <c:v>0.4</c:v>
                </c:pt>
                <c:pt idx="5">
                  <c:v>0.5</c:v>
                </c:pt>
                <c:pt idx="6" formatCode="General">
                  <c:v>0.6</c:v>
                </c:pt>
                <c:pt idx="7">
                  <c:v>0.7</c:v>
                </c:pt>
                <c:pt idx="8" formatCode="General">
                  <c:v>0.8</c:v>
                </c:pt>
                <c:pt idx="9">
                  <c:v>0.9</c:v>
                </c:pt>
                <c:pt idx="10" formatCode="General">
                  <c:v>1</c:v>
                </c:pt>
              </c:numCache>
            </c:numRef>
          </c:cat>
          <c:val>
            <c:numRef>
              <c:f>'Лист1 (6)'!$B$2:$B$12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3-2C4C-BDE1-9B1A746CCDAA}"/>
            </c:ext>
          </c:extLst>
        </c:ser>
        <c:ser>
          <c:idx val="1"/>
          <c:order val="1"/>
          <c:tx>
            <c:strRef>
              <c:f>'Лист1 (6)'!$C$1</c:f>
              <c:strCache>
                <c:ptCount val="1"/>
                <c:pt idx="0">
                  <c:v>Более чем удовлетворительный (B2)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'Лист1 (6)'!$A$2:$A$12</c:f>
              <c:numCache>
                <c:formatCode>_(* #,##0.00_);_(* \(#,##0.00\);_(* "-"??_);_(@_)</c:formatCode>
                <c:ptCount val="11"/>
                <c:pt idx="0" formatCode="General">
                  <c:v>0</c:v>
                </c:pt>
                <c:pt idx="1">
                  <c:v>0.1</c:v>
                </c:pt>
                <c:pt idx="2" formatCode="General">
                  <c:v>0.2</c:v>
                </c:pt>
                <c:pt idx="3">
                  <c:v>0.3</c:v>
                </c:pt>
                <c:pt idx="4" formatCode="General">
                  <c:v>0.4</c:v>
                </c:pt>
                <c:pt idx="5">
                  <c:v>0.5</c:v>
                </c:pt>
                <c:pt idx="6" formatCode="General">
                  <c:v>0.6</c:v>
                </c:pt>
                <c:pt idx="7">
                  <c:v>0.7</c:v>
                </c:pt>
                <c:pt idx="8" formatCode="General">
                  <c:v>0.8</c:v>
                </c:pt>
                <c:pt idx="9">
                  <c:v>0.9</c:v>
                </c:pt>
                <c:pt idx="10" formatCode="General">
                  <c:v>1</c:v>
                </c:pt>
              </c:numCache>
            </c:numRef>
          </c:cat>
          <c:val>
            <c:numRef>
              <c:f>'Лист1 (6)'!$C$2:$C$12</c:f>
              <c:numCache>
                <c:formatCode>General</c:formatCode>
                <c:ptCount val="11"/>
                <c:pt idx="0">
                  <c:v>0</c:v>
                </c:pt>
                <c:pt idx="1">
                  <c:v>3.1622776601683798E-2</c:v>
                </c:pt>
                <c:pt idx="2">
                  <c:v>8.9442719099991616E-2</c:v>
                </c:pt>
                <c:pt idx="3">
                  <c:v>0.16431676725154978</c:v>
                </c:pt>
                <c:pt idx="4">
                  <c:v>0.25298221281347039</c:v>
                </c:pt>
                <c:pt idx="5">
                  <c:v>0.35355339059327379</c:v>
                </c:pt>
                <c:pt idx="6">
                  <c:v>0.46475800154489</c:v>
                </c:pt>
                <c:pt idx="7">
                  <c:v>0.58566201857385281</c:v>
                </c:pt>
                <c:pt idx="8">
                  <c:v>0.71554175279993271</c:v>
                </c:pt>
                <c:pt idx="9">
                  <c:v>0.85381496824546244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83-2C4C-BDE1-9B1A746CCDAA}"/>
            </c:ext>
          </c:extLst>
        </c:ser>
        <c:ser>
          <c:idx val="2"/>
          <c:order val="2"/>
          <c:tx>
            <c:strRef>
              <c:f>'Лист1 (6)'!$D$1</c:f>
              <c:strCache>
                <c:ptCount val="1"/>
                <c:pt idx="0">
                  <c:v>Безупречный (B3)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'Лист1 (6)'!$A$2:$A$12</c:f>
              <c:numCache>
                <c:formatCode>_(* #,##0.00_);_(* \(#,##0.00\);_(* "-"??_);_(@_)</c:formatCode>
                <c:ptCount val="11"/>
                <c:pt idx="0" formatCode="General">
                  <c:v>0</c:v>
                </c:pt>
                <c:pt idx="1">
                  <c:v>0.1</c:v>
                </c:pt>
                <c:pt idx="2" formatCode="General">
                  <c:v>0.2</c:v>
                </c:pt>
                <c:pt idx="3">
                  <c:v>0.3</c:v>
                </c:pt>
                <c:pt idx="4" formatCode="General">
                  <c:v>0.4</c:v>
                </c:pt>
                <c:pt idx="5">
                  <c:v>0.5</c:v>
                </c:pt>
                <c:pt idx="6" formatCode="General">
                  <c:v>0.6</c:v>
                </c:pt>
                <c:pt idx="7">
                  <c:v>0.7</c:v>
                </c:pt>
                <c:pt idx="8" formatCode="General">
                  <c:v>0.8</c:v>
                </c:pt>
                <c:pt idx="9">
                  <c:v>0.9</c:v>
                </c:pt>
                <c:pt idx="10" formatCode="General">
                  <c:v>1</c:v>
                </c:pt>
              </c:numCache>
            </c:numRef>
          </c:cat>
          <c:val>
            <c:numRef>
              <c:f>'Лист1 (6)'!$D$2:$D$12</c:f>
              <c:numCache>
                <c:formatCode>#\ ?/?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83-2C4C-BDE1-9B1A746CCDAA}"/>
            </c:ext>
          </c:extLst>
        </c:ser>
        <c:ser>
          <c:idx val="3"/>
          <c:order val="3"/>
          <c:tx>
            <c:strRef>
              <c:f>'Лист1 (6)'!$E$1</c:f>
              <c:strCache>
                <c:ptCount val="1"/>
                <c:pt idx="0">
                  <c:v>Очень удовлетворительный (B4)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'Лист1 (6)'!$A$2:$A$12</c:f>
              <c:numCache>
                <c:formatCode>_(* #,##0.00_);_(* \(#,##0.00\);_(* "-"??_);_(@_)</c:formatCode>
                <c:ptCount val="11"/>
                <c:pt idx="0" formatCode="General">
                  <c:v>0</c:v>
                </c:pt>
                <c:pt idx="1">
                  <c:v>0.1</c:v>
                </c:pt>
                <c:pt idx="2" formatCode="General">
                  <c:v>0.2</c:v>
                </c:pt>
                <c:pt idx="3">
                  <c:v>0.3</c:v>
                </c:pt>
                <c:pt idx="4" formatCode="General">
                  <c:v>0.4</c:v>
                </c:pt>
                <c:pt idx="5">
                  <c:v>0.5</c:v>
                </c:pt>
                <c:pt idx="6" formatCode="General">
                  <c:v>0.6</c:v>
                </c:pt>
                <c:pt idx="7">
                  <c:v>0.7</c:v>
                </c:pt>
                <c:pt idx="8" formatCode="General">
                  <c:v>0.8</c:v>
                </c:pt>
                <c:pt idx="9">
                  <c:v>0.9</c:v>
                </c:pt>
                <c:pt idx="10" formatCode="General">
                  <c:v>1</c:v>
                </c:pt>
              </c:numCache>
            </c:numRef>
          </c:cat>
          <c:val>
            <c:numRef>
              <c:f>'Лист1 (6)'!$E$2:$E$12</c:f>
              <c:numCache>
                <c:formatCode>General</c:formatCode>
                <c:ptCount val="11"/>
                <c:pt idx="0">
                  <c:v>0</c:v>
                </c:pt>
                <c:pt idx="1">
                  <c:v>1.0000000000000002E-2</c:v>
                </c:pt>
                <c:pt idx="2">
                  <c:v>4.0000000000000008E-2</c:v>
                </c:pt>
                <c:pt idx="3">
                  <c:v>0.09</c:v>
                </c:pt>
                <c:pt idx="4">
                  <c:v>0.16000000000000003</c:v>
                </c:pt>
                <c:pt idx="5">
                  <c:v>0.25</c:v>
                </c:pt>
                <c:pt idx="6">
                  <c:v>0.36</c:v>
                </c:pt>
                <c:pt idx="7">
                  <c:v>0.48999999999999994</c:v>
                </c:pt>
                <c:pt idx="8">
                  <c:v>0.64000000000000012</c:v>
                </c:pt>
                <c:pt idx="9">
                  <c:v>0.81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83-2C4C-BDE1-9B1A746CCDAA}"/>
            </c:ext>
          </c:extLst>
        </c:ser>
        <c:ser>
          <c:idx val="4"/>
          <c:order val="4"/>
          <c:tx>
            <c:strRef>
              <c:f>'Лист1 (6)'!$F$1</c:f>
              <c:strCache>
                <c:ptCount val="1"/>
                <c:pt idx="0">
                  <c:v>Неудовлетворительный (B5)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'Лист1 (6)'!$A$2:$A$12</c:f>
              <c:numCache>
                <c:formatCode>_(* #,##0.00_);_(* \(#,##0.00\);_(* "-"??_);_(@_)</c:formatCode>
                <c:ptCount val="11"/>
                <c:pt idx="0" formatCode="General">
                  <c:v>0</c:v>
                </c:pt>
                <c:pt idx="1">
                  <c:v>0.1</c:v>
                </c:pt>
                <c:pt idx="2" formatCode="General">
                  <c:v>0.2</c:v>
                </c:pt>
                <c:pt idx="3">
                  <c:v>0.3</c:v>
                </c:pt>
                <c:pt idx="4" formatCode="General">
                  <c:v>0.4</c:v>
                </c:pt>
                <c:pt idx="5">
                  <c:v>0.5</c:v>
                </c:pt>
                <c:pt idx="6" formatCode="General">
                  <c:v>0.6</c:v>
                </c:pt>
                <c:pt idx="7">
                  <c:v>0.7</c:v>
                </c:pt>
                <c:pt idx="8" formatCode="General">
                  <c:v>0.8</c:v>
                </c:pt>
                <c:pt idx="9">
                  <c:v>0.9</c:v>
                </c:pt>
                <c:pt idx="10" formatCode="General">
                  <c:v>1</c:v>
                </c:pt>
              </c:numCache>
            </c:numRef>
          </c:cat>
          <c:val>
            <c:numRef>
              <c:f>'Лист1 (6)'!$F$2:$F$12</c:f>
              <c:numCache>
                <c:formatCode>General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0.30000000000000004</c:v>
                </c:pt>
                <c:pt idx="8">
                  <c:v>0.19999999999999996</c:v>
                </c:pt>
                <c:pt idx="9">
                  <c:v>9.9999999999999978E-2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83-2C4C-BDE1-9B1A746CC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162368"/>
        <c:axId val="848164016"/>
      </c:lineChart>
      <c:catAx>
        <c:axId val="8481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4016"/>
        <c:crosses val="autoZero"/>
        <c:auto val="1"/>
        <c:lblAlgn val="ctr"/>
        <c:lblOffset val="100"/>
        <c:noMultiLvlLbl val="0"/>
      </c:catAx>
      <c:valAx>
        <c:axId val="84816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16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9</xdr:row>
      <xdr:rowOff>120650</xdr:rowOff>
    </xdr:from>
    <xdr:to>
      <xdr:col>10</xdr:col>
      <xdr:colOff>965200</xdr:colOff>
      <xdr:row>23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10C2D34-10E6-AF40-912C-A1F637FFE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9</xdr:row>
      <xdr:rowOff>120650</xdr:rowOff>
    </xdr:from>
    <xdr:to>
      <xdr:col>10</xdr:col>
      <xdr:colOff>965200</xdr:colOff>
      <xdr:row>23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4AC9FB-9F79-6D45-904A-545588510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336550</xdr:colOff>
      <xdr:row>9</xdr:row>
      <xdr:rowOff>133350</xdr:rowOff>
    </xdr:from>
    <xdr:to>
      <xdr:col>10</xdr:col>
      <xdr:colOff>812800</xdr:colOff>
      <xdr:row>23</xdr:row>
      <xdr:rowOff>34925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031C04D-7534-E145-828D-9470A8743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9</xdr:row>
      <xdr:rowOff>44450</xdr:rowOff>
    </xdr:from>
    <xdr:to>
      <xdr:col>10</xdr:col>
      <xdr:colOff>965200</xdr:colOff>
      <xdr:row>22</xdr:row>
      <xdr:rowOff>146050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A16D447-0DE9-1F49-9A39-1649E383F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9</xdr:row>
      <xdr:rowOff>82550</xdr:rowOff>
    </xdr:from>
    <xdr:to>
      <xdr:col>10</xdr:col>
      <xdr:colOff>876300</xdr:colOff>
      <xdr:row>22</xdr:row>
      <xdr:rowOff>184150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FC8EF7E-55DE-5743-983C-832C59626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622300</xdr:colOff>
      <xdr:row>18</xdr:row>
      <xdr:rowOff>19050</xdr:rowOff>
    </xdr:from>
    <xdr:to>
      <xdr:col>8</xdr:col>
      <xdr:colOff>495300</xdr:colOff>
      <xdr:row>31</xdr:row>
      <xdr:rowOff>120650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07D190A-F9C3-FE4D-868E-C5A66BA9B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1053;&#1077;&#1095;&#1077;&#1090;&#1082;&#1086;&#1077;%20&#1084;&#1086;&#1076;&#1077;&#1083;&#1080;&#1088;&#1086;&#1074;&#1072;&#1085;&#1080;&#1077;%20(1)\&#1053;&#1077;&#1095;&#1077;&#1090;&#1082;&#1086;&#1077;%20&#1084;&#1086;&#1076;&#1077;&#1083;&#1080;&#1088;&#1086;&#1074;&#1072;&#1085;&#1080;&#1077;\&#1051;&#1072;&#1073;&#1086;&#1088;&#1072;&#1090;&#1086;&#1088;&#1085;&#1072;&#1103;%203\&#1050;&#1085;&#1080;&#1075;&#1072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1 (2)"/>
      <sheetName val="Лист1 (3)"/>
      <sheetName val="Лист1 (4)"/>
      <sheetName val="Лист1 (5)"/>
      <sheetName val="Лист1 (6)"/>
    </sheetNames>
    <sheetDataSet>
      <sheetData sheetId="0"/>
      <sheetData sheetId="1">
        <row r="1">
          <cell r="B1" t="str">
            <v>Высокое(А2)</v>
          </cell>
          <cell r="C1" t="str">
            <v>Низкое(А`2)</v>
          </cell>
          <cell r="D1" t="str">
            <v>x2</v>
          </cell>
        </row>
        <row r="2">
          <cell r="A2">
            <v>390</v>
          </cell>
          <cell r="B2">
            <v>1.1108996538242306E-2</v>
          </cell>
          <cell r="C2">
            <v>0.98889100346175773</v>
          </cell>
          <cell r="D2">
            <v>0</v>
          </cell>
        </row>
        <row r="3">
          <cell r="A3">
            <v>395</v>
          </cell>
          <cell r="B3">
            <v>4.393693362340742E-2</v>
          </cell>
          <cell r="C3">
            <v>0.95606306637659255</v>
          </cell>
          <cell r="D3">
            <v>0</v>
          </cell>
        </row>
        <row r="4">
          <cell r="A4">
            <v>400</v>
          </cell>
          <cell r="B4">
            <v>0.1353352832366127</v>
          </cell>
          <cell r="C4">
            <v>0.8646647167633873</v>
          </cell>
          <cell r="D4">
            <v>0</v>
          </cell>
        </row>
        <row r="5">
          <cell r="A5">
            <v>405</v>
          </cell>
          <cell r="B5">
            <v>0.32465246735834974</v>
          </cell>
          <cell r="C5">
            <v>0.67534753264165026</v>
          </cell>
          <cell r="D5">
            <v>3.6938830684872561E-196</v>
          </cell>
        </row>
        <row r="6">
          <cell r="A6">
            <v>410</v>
          </cell>
          <cell r="B6">
            <v>0.60653065971263342</v>
          </cell>
          <cell r="C6">
            <v>0.39346934028736658</v>
          </cell>
          <cell r="D6">
            <v>1.3838965267367376E-87</v>
          </cell>
        </row>
        <row r="7">
          <cell r="A7">
            <v>415</v>
          </cell>
          <cell r="B7">
            <v>0.88249690258459546</v>
          </cell>
          <cell r="C7">
            <v>0.11750309741540454</v>
          </cell>
          <cell r="D7">
            <v>1.9287498479639178E-22</v>
          </cell>
        </row>
        <row r="8">
          <cell r="A8">
            <v>420</v>
          </cell>
          <cell r="B8">
            <v>1</v>
          </cell>
          <cell r="C8">
            <v>0</v>
          </cell>
          <cell r="D8">
            <v>1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D665-E0F8-8F4C-AF01-6049DC1702CB}">
  <dimension ref="A1:F8"/>
  <sheetViews>
    <sheetView zoomScale="85" zoomScaleNormal="85" workbookViewId="0">
      <selection activeCell="D3" sqref="D3"/>
    </sheetView>
  </sheetViews>
  <sheetFormatPr defaultColWidth="11" defaultRowHeight="15.75" x14ac:dyDescent="0.25"/>
  <cols>
    <col min="1" max="1" width="6.875" customWidth="1"/>
    <col min="2" max="2" width="15.875" customWidth="1"/>
    <col min="3" max="3" width="13.5" customWidth="1"/>
    <col min="4" max="4" width="12.125" bestFit="1" customWidth="1"/>
    <col min="10" max="10" width="6.875" customWidth="1"/>
    <col min="11" max="11" width="15.625" customWidth="1"/>
    <col min="12" max="12" width="13.875" customWidth="1"/>
  </cols>
  <sheetData>
    <row r="1" spans="1:6" x14ac:dyDescent="0.25">
      <c r="A1" t="s">
        <v>0</v>
      </c>
      <c r="B1" t="s">
        <v>22</v>
      </c>
      <c r="C1" t="s">
        <v>23</v>
      </c>
      <c r="D1" t="s">
        <v>10</v>
      </c>
      <c r="E1" t="s">
        <v>1</v>
      </c>
      <c r="F1">
        <v>17000</v>
      </c>
    </row>
    <row r="2" spans="1:6" x14ac:dyDescent="0.25">
      <c r="A2">
        <v>17000</v>
      </c>
      <c r="B2">
        <f t="shared" ref="B2:B8" si="0">EXP(-((A2-$F$1) * (A2-$F$1)) / (2 *$F$2 *$F$2))</f>
        <v>1</v>
      </c>
      <c r="C2">
        <f>1-B2</f>
        <v>0</v>
      </c>
      <c r="D2">
        <f>EXP(-((A2-$F$3) * (A2-$F$3)) / (2 *0.5 *0.5))</f>
        <v>1</v>
      </c>
      <c r="E2" t="s">
        <v>2</v>
      </c>
      <c r="F2">
        <v>5000</v>
      </c>
    </row>
    <row r="3" spans="1:6" x14ac:dyDescent="0.25">
      <c r="A3">
        <v>20000</v>
      </c>
      <c r="B3">
        <f t="shared" si="0"/>
        <v>0.835270211411272</v>
      </c>
      <c r="C3">
        <f t="shared" ref="C3:C8" si="1">1-B3</f>
        <v>0.164729788588728</v>
      </c>
      <c r="D3">
        <f t="shared" ref="D3:D8" si="2">EXP(-((A3-$F$3) * (A3-$F$3)) / (2 *0.5 *0.5))</f>
        <v>0</v>
      </c>
      <c r="E3" t="s">
        <v>0</v>
      </c>
      <c r="F3">
        <v>17000</v>
      </c>
    </row>
    <row r="4" spans="1:6" x14ac:dyDescent="0.25">
      <c r="A4">
        <v>23000</v>
      </c>
      <c r="B4">
        <f t="shared" si="0"/>
        <v>0.48675225595997168</v>
      </c>
      <c r="C4">
        <f t="shared" si="1"/>
        <v>0.51324774404002826</v>
      </c>
      <c r="D4">
        <f t="shared" si="2"/>
        <v>0</v>
      </c>
    </row>
    <row r="5" spans="1:6" x14ac:dyDescent="0.25">
      <c r="A5">
        <v>26000</v>
      </c>
      <c r="B5">
        <f t="shared" si="0"/>
        <v>0.19789869908361465</v>
      </c>
      <c r="C5">
        <f t="shared" si="1"/>
        <v>0.80210130091638532</v>
      </c>
      <c r="D5">
        <f t="shared" si="2"/>
        <v>0</v>
      </c>
    </row>
    <row r="6" spans="1:6" x14ac:dyDescent="0.25">
      <c r="A6">
        <v>29000</v>
      </c>
      <c r="B6">
        <f t="shared" si="0"/>
        <v>5.6134762834133725E-2</v>
      </c>
      <c r="C6">
        <f t="shared" si="1"/>
        <v>0.94386523716586623</v>
      </c>
      <c r="D6">
        <f t="shared" si="2"/>
        <v>0</v>
      </c>
    </row>
    <row r="7" spans="1:6" x14ac:dyDescent="0.25">
      <c r="A7">
        <v>32000</v>
      </c>
      <c r="B7">
        <f t="shared" si="0"/>
        <v>1.1108996538242306E-2</v>
      </c>
      <c r="C7">
        <f t="shared" si="1"/>
        <v>0.98889100346175773</v>
      </c>
      <c r="D7">
        <f t="shared" si="2"/>
        <v>0</v>
      </c>
    </row>
    <row r="8" spans="1:6" x14ac:dyDescent="0.25">
      <c r="A8">
        <v>35000</v>
      </c>
      <c r="B8">
        <f t="shared" si="0"/>
        <v>1.533810679324463E-3</v>
      </c>
      <c r="C8">
        <f t="shared" si="1"/>
        <v>0.99846618932067555</v>
      </c>
      <c r="D8">
        <f t="shared" si="2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60C0-0DF0-5947-A7E9-C595126766C0}">
  <dimension ref="A1:F8"/>
  <sheetViews>
    <sheetView zoomScale="70" zoomScaleNormal="70" workbookViewId="0">
      <selection activeCell="F8" sqref="A1:F8"/>
    </sheetView>
  </sheetViews>
  <sheetFormatPr defaultColWidth="11" defaultRowHeight="15.75" x14ac:dyDescent="0.25"/>
  <cols>
    <col min="1" max="1" width="6.875" customWidth="1"/>
    <col min="2" max="2" width="15.875" customWidth="1"/>
    <col min="3" max="3" width="13.5" customWidth="1"/>
    <col min="10" max="10" width="6.875" customWidth="1"/>
    <col min="11" max="11" width="15.625" customWidth="1"/>
    <col min="12" max="12" width="13.875" customWidth="1"/>
  </cols>
  <sheetData>
    <row r="1" spans="1:6" x14ac:dyDescent="0.25">
      <c r="A1" t="s">
        <v>0</v>
      </c>
      <c r="B1" t="s">
        <v>20</v>
      </c>
      <c r="C1" t="s">
        <v>21</v>
      </c>
      <c r="D1" t="s">
        <v>11</v>
      </c>
      <c r="E1" t="s">
        <v>1</v>
      </c>
      <c r="F1">
        <v>420</v>
      </c>
    </row>
    <row r="2" spans="1:6" x14ac:dyDescent="0.25">
      <c r="A2">
        <v>390</v>
      </c>
      <c r="B2">
        <f>EXP(-((A2-$F$1) * (A2-$F$1)) / (2 *$F$2 *$F$2))</f>
        <v>1.1108996538242306E-2</v>
      </c>
      <c r="C2">
        <f>1-B2</f>
        <v>0.98889100346175773</v>
      </c>
      <c r="D2">
        <f>EXP(-((A2-$F$3) * (A2-$F$3)) / (2 *0.5 *0.5))</f>
        <v>0</v>
      </c>
      <c r="E2" t="s">
        <v>2</v>
      </c>
      <c r="F2">
        <v>10</v>
      </c>
    </row>
    <row r="3" spans="1:6" x14ac:dyDescent="0.25">
      <c r="A3" s="2">
        <v>395</v>
      </c>
      <c r="B3">
        <f>EXP(-((A3-$F$1) * (A3-$F$1)) / (2 *$F$2 *$F$2))</f>
        <v>4.393693362340742E-2</v>
      </c>
      <c r="C3">
        <f>1-B3</f>
        <v>0.95606306637659255</v>
      </c>
      <c r="D3">
        <f>EXP(-((A3-$F$3) * (A3-$F$3)) / (2 *0.5 *0.5))</f>
        <v>0</v>
      </c>
      <c r="E3" t="s">
        <v>0</v>
      </c>
      <c r="F3">
        <v>420</v>
      </c>
    </row>
    <row r="4" spans="1:6" x14ac:dyDescent="0.25">
      <c r="A4">
        <v>400</v>
      </c>
      <c r="B4">
        <f>EXP(-((A4-$F$1) * (A4-$F$1)) / (2 *$F$2 *$F$2))</f>
        <v>0.1353352832366127</v>
      </c>
      <c r="C4">
        <f t="shared" ref="C4:C8" si="0">1-B4</f>
        <v>0.8646647167633873</v>
      </c>
      <c r="D4">
        <f>EXP(-((A4-$F$3) * (A4-$F$3)) / (2 *0.5 *0.5))</f>
        <v>0</v>
      </c>
    </row>
    <row r="5" spans="1:6" x14ac:dyDescent="0.25">
      <c r="A5" s="2">
        <v>405</v>
      </c>
      <c r="B5">
        <f>EXP(-((A5-$F$1) * (A5-$F$1)) / (2 *$F$2 *$F$2))</f>
        <v>0.32465246735834974</v>
      </c>
      <c r="C5">
        <f t="shared" si="0"/>
        <v>0.67534753264165026</v>
      </c>
      <c r="D5">
        <f>EXP(-((A5-$F$3) * (A5-$F$3)) / (2 *0.5 *0.5))</f>
        <v>3.6938830684872561E-196</v>
      </c>
    </row>
    <row r="6" spans="1:6" x14ac:dyDescent="0.25">
      <c r="A6">
        <v>410</v>
      </c>
      <c r="B6">
        <f>EXP(-((A6-$F$1) * (A6-$F$1)) / (2 *$F$2 *$F$2))</f>
        <v>0.60653065971263342</v>
      </c>
      <c r="C6">
        <f t="shared" si="0"/>
        <v>0.39346934028736658</v>
      </c>
      <c r="D6">
        <f>EXP(-((A6-$F$3) * (A6-$F$3)) / (2 *0.5 *0.5))</f>
        <v>1.3838965267367376E-87</v>
      </c>
    </row>
    <row r="7" spans="1:6" x14ac:dyDescent="0.25">
      <c r="A7" s="2">
        <v>415</v>
      </c>
      <c r="B7">
        <f>EXP(-((A7-$F$1) * (A7-$F$1)) / (2 *$F$2 *$F$2))</f>
        <v>0.88249690258459546</v>
      </c>
      <c r="C7">
        <f t="shared" si="0"/>
        <v>0.11750309741540454</v>
      </c>
      <c r="D7">
        <f>EXP(-((A7-$F$3) * (A7-$F$3)) / (2 *0.5 *0.5))</f>
        <v>1.9287498479639178E-22</v>
      </c>
    </row>
    <row r="8" spans="1:6" x14ac:dyDescent="0.25">
      <c r="A8">
        <v>420</v>
      </c>
      <c r="B8">
        <f>EXP(-((A8-$F$1) * (A8-$F$1)) / (2 *$F$2 *$F$2))</f>
        <v>1</v>
      </c>
      <c r="C8">
        <f t="shared" si="0"/>
        <v>0</v>
      </c>
      <c r="D8">
        <f>EXP(-((A8-$F$3) * (A8-$F$3)) / (2 *0.5 *0.5))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FC75-9F1A-1A4E-AEFC-3C6E6C58BE5D}">
  <dimension ref="A1:F12"/>
  <sheetViews>
    <sheetView zoomScale="85" zoomScaleNormal="85" workbookViewId="0">
      <selection sqref="A1:F8"/>
    </sheetView>
  </sheetViews>
  <sheetFormatPr defaultColWidth="11" defaultRowHeight="15.75" x14ac:dyDescent="0.25"/>
  <cols>
    <col min="1" max="1" width="6.875" customWidth="1"/>
    <col min="2" max="2" width="15.875" customWidth="1"/>
    <col min="3" max="3" width="13.5" customWidth="1"/>
    <col min="10" max="10" width="6.875" customWidth="1"/>
    <col min="11" max="11" width="15.625" customWidth="1"/>
    <col min="12" max="12" width="13.875" customWidth="1"/>
  </cols>
  <sheetData>
    <row r="1" spans="1:6" x14ac:dyDescent="0.25">
      <c r="A1" t="s">
        <v>0</v>
      </c>
      <c r="B1" t="s">
        <v>18</v>
      </c>
      <c r="C1" t="s">
        <v>19</v>
      </c>
      <c r="D1" t="s">
        <v>12</v>
      </c>
      <c r="E1" t="s">
        <v>1</v>
      </c>
      <c r="F1" s="4">
        <v>2.0499999999999998</v>
      </c>
    </row>
    <row r="2" spans="1:6" x14ac:dyDescent="0.25">
      <c r="A2">
        <v>2</v>
      </c>
      <c r="B2">
        <f t="shared" ref="B2:B8" si="0">EXP(-((A2-$F$1) * (A2-$F$1)) / (2 *$F$2 *$F$2))</f>
        <v>0.88249690258459623</v>
      </c>
      <c r="C2">
        <f>1-B2</f>
        <v>0.11750309741540377</v>
      </c>
      <c r="D2">
        <f>EXP(-((A2-$F$3) * (A2-$F$3)) / (2 *0.5 *0.5))</f>
        <v>1</v>
      </c>
      <c r="E2" t="s">
        <v>2</v>
      </c>
      <c r="F2" s="4">
        <v>0.1</v>
      </c>
    </row>
    <row r="3" spans="1:6" x14ac:dyDescent="0.25">
      <c r="A3" s="3">
        <v>2.1</v>
      </c>
      <c r="B3">
        <f t="shared" si="0"/>
        <v>0.88249690258459423</v>
      </c>
      <c r="C3">
        <f t="shared" ref="C3:C8" si="1">1-B3</f>
        <v>0.11750309741540577</v>
      </c>
      <c r="D3">
        <f t="shared" ref="D3:D8" si="2">EXP(-((A3-$F$3) * (A3-$F$3)) / (2 *0.5 *0.5))</f>
        <v>0.98019867330675525</v>
      </c>
      <c r="E3" t="s">
        <v>0</v>
      </c>
      <c r="F3" s="4">
        <v>2</v>
      </c>
    </row>
    <row r="4" spans="1:6" x14ac:dyDescent="0.25">
      <c r="A4" s="3">
        <v>2.2000000000000002</v>
      </c>
      <c r="B4">
        <f t="shared" si="0"/>
        <v>0.32465246735834807</v>
      </c>
      <c r="C4">
        <f t="shared" si="1"/>
        <v>0.67534753264165193</v>
      </c>
      <c r="D4">
        <f t="shared" si="2"/>
        <v>0.92311634638663564</v>
      </c>
    </row>
    <row r="5" spans="1:6" x14ac:dyDescent="0.25">
      <c r="A5" s="3">
        <v>2.2999999999999998</v>
      </c>
      <c r="B5">
        <f t="shared" si="0"/>
        <v>4.3936933623407434E-2</v>
      </c>
      <c r="C5">
        <f t="shared" si="1"/>
        <v>0.95606306637659255</v>
      </c>
      <c r="D5">
        <f t="shared" si="2"/>
        <v>0.83527021141127222</v>
      </c>
    </row>
    <row r="6" spans="1:6" x14ac:dyDescent="0.25">
      <c r="A6" s="3">
        <v>2.4</v>
      </c>
      <c r="B6">
        <f t="shared" si="0"/>
        <v>2.1874911181828812E-3</v>
      </c>
      <c r="C6">
        <f t="shared" si="1"/>
        <v>0.99781250888181716</v>
      </c>
      <c r="D6">
        <f t="shared" si="2"/>
        <v>0.72614903707369105</v>
      </c>
    </row>
    <row r="7" spans="1:6" x14ac:dyDescent="0.25">
      <c r="A7" s="3">
        <v>2.5</v>
      </c>
      <c r="B7">
        <f t="shared" si="0"/>
        <v>4.0065297392950852E-5</v>
      </c>
      <c r="C7">
        <f t="shared" si="1"/>
        <v>0.99995993470260702</v>
      </c>
      <c r="D7">
        <f t="shared" si="2"/>
        <v>0.60653065971263342</v>
      </c>
    </row>
    <row r="8" spans="1:6" x14ac:dyDescent="0.25">
      <c r="A8" s="3">
        <v>2.6</v>
      </c>
      <c r="B8">
        <f t="shared" si="0"/>
        <v>2.6995785033629855E-7</v>
      </c>
      <c r="C8">
        <f t="shared" si="1"/>
        <v>0.9999997300421497</v>
      </c>
      <c r="D8">
        <f t="shared" si="2"/>
        <v>0.48675225595997157</v>
      </c>
    </row>
    <row r="9" spans="1:6" x14ac:dyDescent="0.25">
      <c r="A9" s="3"/>
    </row>
    <row r="10" spans="1:6" x14ac:dyDescent="0.25">
      <c r="A10" s="3"/>
    </row>
    <row r="11" spans="1:6" x14ac:dyDescent="0.25">
      <c r="A11" s="3"/>
    </row>
    <row r="12" spans="1:6" x14ac:dyDescent="0.25">
      <c r="A12" s="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B4C2-70BB-5C48-9B29-B141E5A4AD8C}">
  <dimension ref="A1:F11"/>
  <sheetViews>
    <sheetView workbookViewId="0">
      <selection sqref="A1:F7"/>
    </sheetView>
  </sheetViews>
  <sheetFormatPr defaultColWidth="11" defaultRowHeight="15.75" x14ac:dyDescent="0.25"/>
  <cols>
    <col min="1" max="1" width="6.875" customWidth="1"/>
    <col min="2" max="2" width="15.875" customWidth="1"/>
    <col min="3" max="3" width="13.5" customWidth="1"/>
    <col min="10" max="10" width="6.875" customWidth="1"/>
    <col min="11" max="11" width="15.625" customWidth="1"/>
    <col min="12" max="12" width="13.875" customWidth="1"/>
  </cols>
  <sheetData>
    <row r="1" spans="1:6" x14ac:dyDescent="0.25">
      <c r="A1" t="s">
        <v>0</v>
      </c>
      <c r="B1" t="s">
        <v>16</v>
      </c>
      <c r="C1" t="s">
        <v>17</v>
      </c>
      <c r="D1" t="s">
        <v>13</v>
      </c>
      <c r="E1" t="s">
        <v>1</v>
      </c>
      <c r="F1">
        <v>10</v>
      </c>
    </row>
    <row r="2" spans="1:6" x14ac:dyDescent="0.25">
      <c r="A2">
        <v>0</v>
      </c>
      <c r="B2">
        <f t="shared" ref="B2:B7" si="0">EXP(-((A2-$F$1) * (A2-$F$1)) / (2 *$F$2 *$F$2))</f>
        <v>3.7266531720786709E-6</v>
      </c>
      <c r="C2">
        <f>1-B2</f>
        <v>0.99999627334682795</v>
      </c>
      <c r="D2">
        <f t="shared" ref="D2:D7" si="1">EXP(-((A2-$F$3) * (A2-$F$3)) / (2 *0.5 *0.5))</f>
        <v>1.3838965267367376E-87</v>
      </c>
      <c r="E2" t="s">
        <v>2</v>
      </c>
      <c r="F2">
        <v>2</v>
      </c>
    </row>
    <row r="3" spans="1:6" x14ac:dyDescent="0.25">
      <c r="A3" s="2">
        <v>2</v>
      </c>
      <c r="B3">
        <f t="shared" si="0"/>
        <v>3.3546262790251185E-4</v>
      </c>
      <c r="C3">
        <f t="shared" ref="C3:C7" si="2">1-B3</f>
        <v>0.99966453737209748</v>
      </c>
      <c r="D3">
        <f t="shared" si="1"/>
        <v>2.5722093726424148E-56</v>
      </c>
      <c r="E3" t="s">
        <v>14</v>
      </c>
      <c r="F3">
        <v>10</v>
      </c>
    </row>
    <row r="4" spans="1:6" x14ac:dyDescent="0.25">
      <c r="A4">
        <v>4</v>
      </c>
      <c r="B4">
        <f t="shared" si="0"/>
        <v>1.1108996538242306E-2</v>
      </c>
      <c r="C4">
        <f t="shared" si="2"/>
        <v>0.98889100346175773</v>
      </c>
      <c r="D4">
        <f t="shared" si="1"/>
        <v>5.3801861600211382E-32</v>
      </c>
    </row>
    <row r="5" spans="1:6" x14ac:dyDescent="0.25">
      <c r="A5" s="2">
        <v>6</v>
      </c>
      <c r="B5">
        <f t="shared" si="0"/>
        <v>0.1353352832366127</v>
      </c>
      <c r="C5">
        <f t="shared" si="2"/>
        <v>0.8646647167633873</v>
      </c>
      <c r="D5">
        <f t="shared" si="1"/>
        <v>1.2664165549094176E-14</v>
      </c>
    </row>
    <row r="6" spans="1:6" x14ac:dyDescent="0.25">
      <c r="A6">
        <v>8</v>
      </c>
      <c r="B6">
        <f t="shared" si="0"/>
        <v>0.60653065971263342</v>
      </c>
      <c r="C6">
        <f t="shared" si="2"/>
        <v>0.39346934028736658</v>
      </c>
      <c r="D6">
        <f t="shared" si="1"/>
        <v>3.3546262790251185E-4</v>
      </c>
    </row>
    <row r="7" spans="1:6" x14ac:dyDescent="0.25">
      <c r="A7" s="2">
        <v>10</v>
      </c>
      <c r="B7">
        <f t="shared" si="0"/>
        <v>1</v>
      </c>
      <c r="C7">
        <f t="shared" si="2"/>
        <v>0</v>
      </c>
      <c r="D7">
        <f t="shared" si="1"/>
        <v>1</v>
      </c>
    </row>
    <row r="9" spans="1:6" x14ac:dyDescent="0.25">
      <c r="A9" s="2"/>
    </row>
    <row r="11" spans="1:6" x14ac:dyDescent="0.25">
      <c r="A11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D61C-F268-F443-BC8B-611828523869}">
  <dimension ref="A1:F11"/>
  <sheetViews>
    <sheetView tabSelected="1" workbookViewId="0">
      <selection sqref="A1:F6"/>
    </sheetView>
  </sheetViews>
  <sheetFormatPr defaultColWidth="11" defaultRowHeight="15.75" x14ac:dyDescent="0.25"/>
  <cols>
    <col min="1" max="1" width="6.875" customWidth="1"/>
    <col min="2" max="2" width="15.875" customWidth="1"/>
    <col min="3" max="3" width="13.5" customWidth="1"/>
    <col min="10" max="10" width="6.875" customWidth="1"/>
    <col min="11" max="11" width="15.625" customWidth="1"/>
    <col min="12" max="12" width="13.875" customWidth="1"/>
  </cols>
  <sheetData>
    <row r="1" spans="1:6" x14ac:dyDescent="0.25">
      <c r="A1" t="s">
        <v>0</v>
      </c>
      <c r="B1" t="s">
        <v>3</v>
      </c>
      <c r="C1" t="s">
        <v>4</v>
      </c>
      <c r="D1" t="s">
        <v>15</v>
      </c>
      <c r="E1" t="s">
        <v>1</v>
      </c>
      <c r="F1">
        <v>56</v>
      </c>
    </row>
    <row r="2" spans="1:6" x14ac:dyDescent="0.25">
      <c r="A2">
        <v>20</v>
      </c>
      <c r="B2">
        <f t="shared" ref="B2:B6" si="0">EXP(-((A2-$F$1) * (A2-$F$1)) / (2 *$F$2 *$F$2))</f>
        <v>5.6134762834133725E-2</v>
      </c>
      <c r="C2">
        <f>1-B2</f>
        <v>0.94386523716586623</v>
      </c>
      <c r="D2">
        <f t="shared" ref="D2:D6" si="1">EXP(-((A2-$F$3) * (A2-$F$3)) / (2 *0.5 *0.5))</f>
        <v>0</v>
      </c>
      <c r="E2" t="s">
        <v>2</v>
      </c>
      <c r="F2">
        <v>15</v>
      </c>
    </row>
    <row r="3" spans="1:6" x14ac:dyDescent="0.25">
      <c r="A3" s="2">
        <v>30</v>
      </c>
      <c r="B3">
        <f t="shared" si="0"/>
        <v>0.22263486587889095</v>
      </c>
      <c r="C3">
        <f t="shared" ref="C3:C6" si="2">1-B3</f>
        <v>0.77736513412110908</v>
      </c>
      <c r="D3">
        <f t="shared" si="1"/>
        <v>0</v>
      </c>
      <c r="E3" t="s">
        <v>14</v>
      </c>
      <c r="F3">
        <v>56</v>
      </c>
    </row>
    <row r="4" spans="1:6" x14ac:dyDescent="0.25">
      <c r="A4">
        <v>40</v>
      </c>
      <c r="B4">
        <f t="shared" si="0"/>
        <v>0.56615414951719756</v>
      </c>
      <c r="C4">
        <f t="shared" si="2"/>
        <v>0.43384585048280244</v>
      </c>
      <c r="D4">
        <f t="shared" si="1"/>
        <v>4.3774910370530512E-223</v>
      </c>
    </row>
    <row r="5" spans="1:6" x14ac:dyDescent="0.25">
      <c r="A5" s="2">
        <v>50</v>
      </c>
      <c r="B5">
        <f t="shared" si="0"/>
        <v>0.92311634638663576</v>
      </c>
      <c r="C5">
        <f t="shared" si="2"/>
        <v>7.6883653613364245E-2</v>
      </c>
      <c r="D5">
        <f t="shared" si="1"/>
        <v>5.3801861600211382E-32</v>
      </c>
    </row>
    <row r="6" spans="1:6" x14ac:dyDescent="0.25">
      <c r="A6">
        <v>60</v>
      </c>
      <c r="B6">
        <f t="shared" si="0"/>
        <v>0.96506911778968041</v>
      </c>
      <c r="C6">
        <f t="shared" si="2"/>
        <v>3.4930882210319592E-2</v>
      </c>
      <c r="D6">
        <f t="shared" si="1"/>
        <v>1.2664165549094176E-14</v>
      </c>
    </row>
    <row r="7" spans="1:6" x14ac:dyDescent="0.25">
      <c r="A7" s="2"/>
    </row>
    <row r="9" spans="1:6" x14ac:dyDescent="0.25">
      <c r="A9" s="2"/>
    </row>
    <row r="11" spans="1:6" x14ac:dyDescent="0.25">
      <c r="A11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1383-BAD2-E447-8348-E37E3F20AFA3}">
  <dimension ref="A1:F20"/>
  <sheetViews>
    <sheetView topLeftCell="A7" workbookViewId="0">
      <selection activeCell="F3" sqref="F3"/>
    </sheetView>
  </sheetViews>
  <sheetFormatPr defaultColWidth="11" defaultRowHeight="15.75" x14ac:dyDescent="0.25"/>
  <cols>
    <col min="1" max="1" width="6.875" customWidth="1"/>
    <col min="2" max="2" width="23.375" customWidth="1"/>
    <col min="3" max="3" width="33.375" customWidth="1"/>
    <col min="4" max="4" width="16" customWidth="1"/>
    <col min="5" max="5" width="29.125" customWidth="1"/>
    <col min="6" max="6" width="27.375" customWidth="1"/>
    <col min="10" max="10" width="6.875" customWidth="1"/>
    <col min="11" max="11" width="15.625" customWidth="1"/>
    <col min="12" max="12" width="13.875" customWidth="1"/>
  </cols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0</v>
      </c>
      <c r="B2">
        <f>A2</f>
        <v>0</v>
      </c>
      <c r="C2">
        <f>POWER(A2,$B$15)</f>
        <v>0</v>
      </c>
      <c r="D2" s="1">
        <v>0</v>
      </c>
      <c r="E2">
        <f>A2*A2</f>
        <v>0</v>
      </c>
      <c r="F2">
        <f>1-A2</f>
        <v>1</v>
      </c>
    </row>
    <row r="3" spans="1:6" x14ac:dyDescent="0.25">
      <c r="A3" s="2">
        <v>0.1</v>
      </c>
      <c r="B3">
        <f t="shared" ref="B3:B12" si="0">A3</f>
        <v>0.1</v>
      </c>
      <c r="C3">
        <f t="shared" ref="C3:C12" si="1">POWER(A3,$B$15)</f>
        <v>3.1622776601683798E-2</v>
      </c>
      <c r="D3" s="1">
        <v>0</v>
      </c>
      <c r="E3">
        <f t="shared" ref="E3:E12" si="2">A3*A3</f>
        <v>1.0000000000000002E-2</v>
      </c>
      <c r="F3">
        <f t="shared" ref="F3:F12" si="3">1-A3</f>
        <v>0.9</v>
      </c>
    </row>
    <row r="4" spans="1:6" x14ac:dyDescent="0.25">
      <c r="A4">
        <v>0.2</v>
      </c>
      <c r="B4">
        <f t="shared" si="0"/>
        <v>0.2</v>
      </c>
      <c r="C4">
        <f t="shared" si="1"/>
        <v>8.9442719099991616E-2</v>
      </c>
      <c r="D4" s="1">
        <v>0</v>
      </c>
      <c r="E4">
        <f t="shared" si="2"/>
        <v>4.0000000000000008E-2</v>
      </c>
      <c r="F4">
        <f t="shared" si="3"/>
        <v>0.8</v>
      </c>
    </row>
    <row r="5" spans="1:6" x14ac:dyDescent="0.25">
      <c r="A5" s="2">
        <v>0.3</v>
      </c>
      <c r="B5">
        <f t="shared" si="0"/>
        <v>0.3</v>
      </c>
      <c r="C5">
        <f t="shared" si="1"/>
        <v>0.16431676725154978</v>
      </c>
      <c r="D5" s="1">
        <v>0</v>
      </c>
      <c r="E5">
        <f t="shared" si="2"/>
        <v>0.09</v>
      </c>
      <c r="F5">
        <f t="shared" si="3"/>
        <v>0.7</v>
      </c>
    </row>
    <row r="6" spans="1:6" x14ac:dyDescent="0.25">
      <c r="A6">
        <v>0.4</v>
      </c>
      <c r="B6">
        <f t="shared" si="0"/>
        <v>0.4</v>
      </c>
      <c r="C6">
        <f t="shared" si="1"/>
        <v>0.25298221281347039</v>
      </c>
      <c r="D6" s="1">
        <v>0</v>
      </c>
      <c r="E6">
        <f t="shared" si="2"/>
        <v>0.16000000000000003</v>
      </c>
      <c r="F6">
        <f t="shared" si="3"/>
        <v>0.6</v>
      </c>
    </row>
    <row r="7" spans="1:6" x14ac:dyDescent="0.25">
      <c r="A7" s="2">
        <v>0.5</v>
      </c>
      <c r="B7">
        <f t="shared" si="0"/>
        <v>0.5</v>
      </c>
      <c r="C7">
        <f t="shared" si="1"/>
        <v>0.35355339059327379</v>
      </c>
      <c r="D7" s="1">
        <v>0</v>
      </c>
      <c r="E7">
        <f t="shared" si="2"/>
        <v>0.25</v>
      </c>
      <c r="F7">
        <f t="shared" si="3"/>
        <v>0.5</v>
      </c>
    </row>
    <row r="8" spans="1:6" x14ac:dyDescent="0.25">
      <c r="A8">
        <v>0.6</v>
      </c>
      <c r="B8">
        <f t="shared" si="0"/>
        <v>0.6</v>
      </c>
      <c r="C8">
        <f t="shared" si="1"/>
        <v>0.46475800154489</v>
      </c>
      <c r="D8" s="1">
        <v>0</v>
      </c>
      <c r="E8">
        <f t="shared" si="2"/>
        <v>0.36</v>
      </c>
      <c r="F8">
        <f t="shared" si="3"/>
        <v>0.4</v>
      </c>
    </row>
    <row r="9" spans="1:6" x14ac:dyDescent="0.25">
      <c r="A9" s="2">
        <v>0.7</v>
      </c>
      <c r="B9">
        <f t="shared" si="0"/>
        <v>0.7</v>
      </c>
      <c r="C9">
        <f t="shared" si="1"/>
        <v>0.58566201857385281</v>
      </c>
      <c r="D9" s="1">
        <v>0</v>
      </c>
      <c r="E9">
        <f t="shared" si="2"/>
        <v>0.48999999999999994</v>
      </c>
      <c r="F9">
        <f t="shared" si="3"/>
        <v>0.30000000000000004</v>
      </c>
    </row>
    <row r="10" spans="1:6" x14ac:dyDescent="0.25">
      <c r="A10">
        <v>0.8</v>
      </c>
      <c r="B10">
        <f t="shared" si="0"/>
        <v>0.8</v>
      </c>
      <c r="C10">
        <f t="shared" si="1"/>
        <v>0.71554175279993271</v>
      </c>
      <c r="D10" s="1">
        <v>0</v>
      </c>
      <c r="E10">
        <f t="shared" si="2"/>
        <v>0.64000000000000012</v>
      </c>
      <c r="F10">
        <f t="shared" si="3"/>
        <v>0.19999999999999996</v>
      </c>
    </row>
    <row r="11" spans="1:6" x14ac:dyDescent="0.25">
      <c r="A11" s="2">
        <v>0.9</v>
      </c>
      <c r="B11">
        <f t="shared" si="0"/>
        <v>0.9</v>
      </c>
      <c r="C11">
        <f t="shared" si="1"/>
        <v>0.85381496824546244</v>
      </c>
      <c r="D11" s="1">
        <v>0</v>
      </c>
      <c r="E11">
        <f t="shared" si="2"/>
        <v>0.81</v>
      </c>
      <c r="F11">
        <f t="shared" si="3"/>
        <v>9.9999999999999978E-2</v>
      </c>
    </row>
    <row r="12" spans="1:6" x14ac:dyDescent="0.25">
      <c r="A12">
        <v>1</v>
      </c>
      <c r="B12">
        <f t="shared" si="0"/>
        <v>1</v>
      </c>
      <c r="C12">
        <f t="shared" si="1"/>
        <v>1</v>
      </c>
      <c r="D12" s="1">
        <v>1</v>
      </c>
      <c r="E12">
        <f t="shared" si="2"/>
        <v>1</v>
      </c>
      <c r="F12">
        <f t="shared" si="3"/>
        <v>0</v>
      </c>
    </row>
    <row r="15" spans="1:6" x14ac:dyDescent="0.25">
      <c r="B15">
        <v>1.5</v>
      </c>
    </row>
    <row r="19" spans="2:2" x14ac:dyDescent="0.25">
      <c r="B19">
        <v>1</v>
      </c>
    </row>
    <row r="20" spans="2:2" x14ac:dyDescent="0.25">
      <c r="B2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Лист1 (2)</vt:lpstr>
      <vt:lpstr>Лист1 (3)</vt:lpstr>
      <vt:lpstr>Лист1 (4)</vt:lpstr>
      <vt:lpstr>Лист1 (5)</vt:lpstr>
      <vt:lpstr>Лист1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2023-11-06T13:55:59Z</dcterms:created>
  <dcterms:modified xsi:type="dcterms:W3CDTF">2023-12-20T14:15:17Z</dcterms:modified>
</cp:coreProperties>
</file>