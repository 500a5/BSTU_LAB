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яУНИВЕР\мага\1 курс 2 сем\СППР Синюк\"/>
    </mc:Choice>
  </mc:AlternateContent>
  <xr:revisionPtr revIDLastSave="0" documentId="13_ncr:1_{D397EEA3-B374-4AE1-8809-F3BD3B44C0C5}" xr6:coauthVersionLast="47" xr6:coauthVersionMax="47" xr10:uidLastSave="{00000000-0000-0000-0000-000000000000}"/>
  <bookViews>
    <workbookView minimized="1" xWindow="735" yWindow="735" windowWidth="21600" windowHeight="1138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8" i="1" l="1"/>
  <c r="B73" i="1"/>
  <c r="B76" i="1"/>
  <c r="D84" i="1"/>
  <c r="E86" i="1"/>
  <c r="D81" i="1"/>
  <c r="D82" i="1"/>
  <c r="D83" i="1"/>
  <c r="D85" i="1"/>
  <c r="D86" i="1"/>
  <c r="D80" i="1"/>
  <c r="B60" i="1" l="1"/>
  <c r="F98" i="1"/>
  <c r="E98" i="1"/>
  <c r="D98" i="1"/>
  <c r="C98" i="1"/>
  <c r="B98" i="1"/>
  <c r="F80" i="1"/>
  <c r="F81" i="1" s="1"/>
  <c r="F82" i="1" s="1"/>
  <c r="F83" i="1" s="1"/>
  <c r="E80" i="1"/>
  <c r="E81" i="1" s="1"/>
  <c r="E82" i="1" s="1"/>
  <c r="E83" i="1" s="1"/>
  <c r="E84" i="1" s="1"/>
  <c r="E85" i="1" s="1"/>
  <c r="C7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F34" i="1"/>
  <c r="H34" i="1" s="1"/>
  <c r="E34" i="1"/>
  <c r="D34" i="1"/>
  <c r="B34" i="1"/>
  <c r="D33" i="1"/>
  <c r="B33" i="1"/>
  <c r="H33" i="1" s="1"/>
  <c r="I33" i="1" s="1"/>
  <c r="D32" i="1"/>
  <c r="H32" i="1" s="1"/>
  <c r="I32" i="1" s="1"/>
  <c r="H31" i="1"/>
  <c r="I31" i="1" s="1"/>
  <c r="B31" i="1"/>
  <c r="E30" i="1"/>
  <c r="D30" i="1"/>
  <c r="B30" i="1"/>
  <c r="H30" i="1" s="1"/>
  <c r="H29" i="1"/>
  <c r="B25" i="1"/>
  <c r="D25" i="1" s="1"/>
  <c r="E25" i="1" s="1"/>
  <c r="D24" i="1"/>
  <c r="C20" i="1"/>
  <c r="B20" i="1"/>
  <c r="E20" i="1" s="1"/>
  <c r="B19" i="1"/>
  <c r="E19" i="1" s="1"/>
  <c r="F19" i="1" s="1"/>
  <c r="E18" i="1"/>
  <c r="F18" i="1" s="1"/>
  <c r="E14" i="1"/>
  <c r="G14" i="1" s="1"/>
  <c r="H14" i="1" s="1"/>
  <c r="D14" i="1"/>
  <c r="C14" i="1"/>
  <c r="B14" i="1"/>
  <c r="D13" i="1"/>
  <c r="C13" i="1"/>
  <c r="G13" i="1" s="1"/>
  <c r="B13" i="1"/>
  <c r="C12" i="1"/>
  <c r="B12" i="1"/>
  <c r="G12" i="1" s="1"/>
  <c r="B11" i="1"/>
  <c r="G11" i="1" s="1"/>
  <c r="G10" i="1"/>
  <c r="E6" i="1"/>
  <c r="D6" i="1"/>
  <c r="G6" i="1" s="1"/>
  <c r="H6" i="1" s="1"/>
  <c r="C6" i="1"/>
  <c r="B6" i="1"/>
  <c r="D5" i="1"/>
  <c r="C5" i="1"/>
  <c r="B5" i="1"/>
  <c r="G5" i="1" s="1"/>
  <c r="C4" i="1"/>
  <c r="G4" i="1" s="1"/>
  <c r="B4" i="1"/>
  <c r="B3" i="1"/>
  <c r="G3" i="1" s="1"/>
  <c r="G2" i="1"/>
  <c r="F84" i="1" l="1"/>
  <c r="F85" i="1" s="1"/>
  <c r="F86" i="1" s="1"/>
  <c r="B70" i="1"/>
  <c r="B75" i="1"/>
  <c r="B72" i="1"/>
  <c r="B74" i="1"/>
  <c r="B71" i="1"/>
  <c r="B67" i="1"/>
  <c r="H10" i="1"/>
  <c r="H3" i="1"/>
  <c r="F20" i="1"/>
  <c r="H11" i="1"/>
  <c r="H12" i="1"/>
  <c r="H5" i="1"/>
  <c r="I34" i="1"/>
  <c r="H4" i="1"/>
  <c r="I30" i="1"/>
  <c r="H2" i="1"/>
  <c r="E24" i="1"/>
  <c r="I29" i="1"/>
  <c r="H13" i="1"/>
  <c r="B77" i="1" l="1"/>
</calcChain>
</file>

<file path=xl/sharedStrings.xml><?xml version="1.0" encoding="utf-8"?>
<sst xmlns="http://schemas.openxmlformats.org/spreadsheetml/2006/main" count="156" uniqueCount="40">
  <si>
    <t>ОТЛ</t>
  </si>
  <si>
    <t>ХОР</t>
  </si>
  <si>
    <t>СР</t>
  </si>
  <si>
    <t>ПЛ</t>
  </si>
  <si>
    <t>УЖ</t>
  </si>
  <si>
    <t>Ср геом</t>
  </si>
  <si>
    <t>Собств</t>
  </si>
  <si>
    <t>ОБ</t>
  </si>
  <si>
    <t>Б</t>
  </si>
  <si>
    <t>М</t>
  </si>
  <si>
    <t>ОМ</t>
  </si>
  <si>
    <t>УЛ</t>
  </si>
  <si>
    <t>НЕ ИЗМ</t>
  </si>
  <si>
    <t>УХ</t>
  </si>
  <si>
    <t>ДА</t>
  </si>
  <si>
    <t>НЕТ</t>
  </si>
  <si>
    <t>необходимость</t>
  </si>
  <si>
    <t>настроение</t>
  </si>
  <si>
    <t>проблемы</t>
  </si>
  <si>
    <t>отношение</t>
  </si>
  <si>
    <t>удовлетворённость</t>
  </si>
  <si>
    <t>Ср. геом.</t>
  </si>
  <si>
    <t>Собств. вектор</t>
  </si>
  <si>
    <t>автомобиль</t>
  </si>
  <si>
    <t>медовый месяц</t>
  </si>
  <si>
    <t>мебель</t>
  </si>
  <si>
    <t>Полезность</t>
  </si>
  <si>
    <t>Стоимость</t>
  </si>
  <si>
    <t>ИТОГО</t>
  </si>
  <si>
    <t>ТАБЛИЦА 1</t>
  </si>
  <si>
    <t>Пол/Стоим</t>
  </si>
  <si>
    <t>Сумм пол</t>
  </si>
  <si>
    <t>Сумм стоим</t>
  </si>
  <si>
    <t>помщь в семейной жизни</t>
  </si>
  <si>
    <t>проблемы в будущем, если это сделать</t>
  </si>
  <si>
    <t>покупка квартиры в ипотеку</t>
  </si>
  <si>
    <t>открытие бизнеса</t>
  </si>
  <si>
    <t xml:space="preserve"> техника в квартриру </t>
  </si>
  <si>
    <t xml:space="preserve">облигации </t>
  </si>
  <si>
    <t>облигации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</si>
</sst>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12" fontId="0" fillId="0" borderId="0" xfId="0" applyNumberFormat="1"/>
    <xf numFmtId="168" fontId="0" fillId="0" borderId="0" xfId="0" applyNumberFormat="1"/>
    <xf numFmtId="0" fontId="2" fillId="0" borderId="0" xfId="0" applyFont="1"/>
    <xf numFmtId="168" fontId="2" fillId="0" borderId="0" xfId="0" applyNumberFormat="1" applyFont="1"/>
    <xf numFmtId="169" fontId="0" fillId="0" borderId="0" xfId="0" applyNumberFormat="1"/>
    <xf numFmtId="0" fontId="4" fillId="0" borderId="1" xfId="0" applyFont="1" applyBorder="1"/>
    <xf numFmtId="168" fontId="4" fillId="0" borderId="1" xfId="0" applyNumberFormat="1" applyFont="1" applyBorder="1"/>
    <xf numFmtId="12" fontId="4" fillId="0" borderId="1" xfId="0" applyNumberFormat="1" applyFont="1" applyBorder="1"/>
    <xf numFmtId="0" fontId="3" fillId="0" borderId="1" xfId="0" applyFont="1" applyBorder="1"/>
    <xf numFmtId="0" fontId="1" fillId="0" borderId="0" xfId="0" applyFont="1"/>
    <xf numFmtId="168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Полезность/стоимость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E48-418D-A5EF-B7AB05F509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([1]Лист1!$G$82,[1]Лист1!$F$80:$F$86)</c:f>
              <c:numCache>
                <c:formatCode>General</c:formatCode>
                <c:ptCount val="8"/>
                <c:pt idx="0">
                  <c:v>0</c:v>
                </c:pt>
                <c:pt idx="1">
                  <c:v>300</c:v>
                </c:pt>
                <c:pt idx="2">
                  <c:v>1000</c:v>
                </c:pt>
                <c:pt idx="3">
                  <c:v>1400</c:v>
                </c:pt>
                <c:pt idx="4">
                  <c:v>1700</c:v>
                </c:pt>
                <c:pt idx="5">
                  <c:v>1880</c:v>
                </c:pt>
                <c:pt idx="6">
                  <c:v>1980</c:v>
                </c:pt>
                <c:pt idx="7">
                  <c:v>2180</c:v>
                </c:pt>
              </c:numCache>
            </c:numRef>
          </c:xVal>
          <c:yVal>
            <c:numRef>
              <c:f>([1]Лист1!$G$82,[1]Лист1!$E$80:$E$86)</c:f>
              <c:numCache>
                <c:formatCode>0.000</c:formatCode>
                <c:ptCount val="8"/>
                <c:pt idx="0" formatCode="General">
                  <c:v>0</c:v>
                </c:pt>
                <c:pt idx="1">
                  <c:v>0.16975767501246852</c:v>
                </c:pt>
                <c:pt idx="2">
                  <c:v>0.38243977201881618</c:v>
                </c:pt>
                <c:pt idx="3">
                  <c:v>0.50011108753629241</c:v>
                </c:pt>
                <c:pt idx="4">
                  <c:v>0.58833455212238306</c:v>
                </c:pt>
                <c:pt idx="5">
                  <c:v>0.87344327881359707</c:v>
                </c:pt>
                <c:pt idx="6">
                  <c:v>0.96043897533980993</c:v>
                </c:pt>
                <c:pt idx="7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48-418D-A5EF-B7AB05F509E6}"/>
            </c:ext>
          </c:extLst>
        </c:ser>
        <c:ser>
          <c:idx val="1"/>
          <c:order val="1"/>
          <c:tx>
            <c:v>Масимизация полезности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tx>
                <c:rich>
                  <a:bodyPr/>
                  <a:lstStyle/>
                  <a:p>
                    <a:fld id="{B783B541-35B5-4964-A8E4-C81095594FC9}" type="YVALUE">
                      <a:rPr lang="en-US"/>
                      <a:pPr/>
                      <a:t>[ЗНАЧЕНИЕ Y]</a:t>
                    </a:fld>
                    <a:endParaRPr lang="ru-RU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E48-418D-A5EF-B7AB05F50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([1]Лист1!$G$82,[1]Лист1!$H$86:$H$92)</c:f>
              <c:numCache>
                <c:formatCode>General</c:formatCode>
                <c:ptCount val="8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700</c:v>
                </c:pt>
                <c:pt idx="4">
                  <c:v>1000</c:v>
                </c:pt>
                <c:pt idx="5">
                  <c:v>1700</c:v>
                </c:pt>
                <c:pt idx="6">
                  <c:v>1880</c:v>
                </c:pt>
                <c:pt idx="7">
                  <c:v>2180</c:v>
                </c:pt>
              </c:numCache>
            </c:numRef>
          </c:xVal>
          <c:yVal>
            <c:numRef>
              <c:f>([1]Лист1!$G$82,[1]Лист1!$G$86:$G$92)</c:f>
              <c:numCache>
                <c:formatCode>0.000</c:formatCode>
                <c:ptCount val="8"/>
                <c:pt idx="0" formatCode="General">
                  <c:v>0</c:v>
                </c:pt>
                <c:pt idx="1">
                  <c:v>3.9561024660190049E-2</c:v>
                </c:pt>
                <c:pt idx="2">
                  <c:v>8.6995696526212835E-2</c:v>
                </c:pt>
                <c:pt idx="3">
                  <c:v>0.11767131551747623</c:v>
                </c:pt>
                <c:pt idx="4">
                  <c:v>0.16975767501246852</c:v>
                </c:pt>
                <c:pt idx="5">
                  <c:v>0.21268209700634769</c:v>
                </c:pt>
                <c:pt idx="6">
                  <c:v>0.28510872669121401</c:v>
                </c:pt>
                <c:pt idx="7" formatCode="General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48-418D-A5EF-B7AB05F509E6}"/>
            </c:ext>
          </c:extLst>
        </c:ser>
        <c:ser>
          <c:idx val="2"/>
          <c:order val="2"/>
          <c:tx>
            <c:v>Ограничение бюджета</c:v>
          </c:tx>
          <c:spPr>
            <a:ln w="12700" cap="sq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([1]Лист1!$G$82,[1]Лист1!$G$83,[1]Лист1!$G$83)</c:f>
              <c:numCache>
                <c:formatCode>General</c:formatCode>
                <c:ptCount val="3"/>
                <c:pt idx="0">
                  <c:v>0</c:v>
                </c:pt>
                <c:pt idx="1">
                  <c:v>1000</c:v>
                </c:pt>
                <c:pt idx="2">
                  <c:v>1000</c:v>
                </c:pt>
              </c:numCache>
            </c:numRef>
          </c:xVal>
          <c:yVal>
            <c:numRef>
              <c:f>([1]Лист1!$H$82,[1]Лист1!$H$82,[1]Лист1!$G$82)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48-418D-A5EF-B7AB05F509E6}"/>
            </c:ext>
          </c:extLst>
        </c:ser>
        <c:ser>
          <c:idx val="3"/>
          <c:order val="3"/>
          <c:tx>
            <c:v>Решение 1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([1]Лист1!$G$82,[1]Лист1!$F$82,[1]Лист1!$F$82)</c:f>
              <c:numCache>
                <c:formatCode>General</c:formatCode>
                <c:ptCount val="3"/>
                <c:pt idx="0">
                  <c:v>0</c:v>
                </c:pt>
                <c:pt idx="1">
                  <c:v>1400</c:v>
                </c:pt>
                <c:pt idx="2">
                  <c:v>1400</c:v>
                </c:pt>
              </c:numCache>
            </c:numRef>
          </c:xVal>
          <c:yVal>
            <c:numRef>
              <c:f>([1]Лист1!$E$82,[1]Лист1!$E$82,[1]Лист1!$G$82)</c:f>
              <c:numCache>
                <c:formatCode>0.000</c:formatCode>
                <c:ptCount val="3"/>
                <c:pt idx="0">
                  <c:v>0.50011108753629241</c:v>
                </c:pt>
                <c:pt idx="1">
                  <c:v>0.50011108753629241</c:v>
                </c:pt>
                <c:pt idx="2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48-418D-A5EF-B7AB05F509E6}"/>
            </c:ext>
          </c:extLst>
        </c:ser>
        <c:ser>
          <c:idx val="4"/>
          <c:order val="4"/>
          <c:tx>
            <c:v>Решение 2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([1]Лист1!$G$82,[1]Лист1!$H$89,[1]Лист1!$H$89)</c:f>
              <c:numCache>
                <c:formatCode>General</c:formatCode>
                <c:ptCount val="3"/>
                <c:pt idx="0">
                  <c:v>0</c:v>
                </c:pt>
                <c:pt idx="1">
                  <c:v>1000</c:v>
                </c:pt>
                <c:pt idx="2">
                  <c:v>1000</c:v>
                </c:pt>
              </c:numCache>
            </c:numRef>
          </c:xVal>
          <c:yVal>
            <c:numRef>
              <c:f>([1]Лист1!$G$89,[1]Лист1!$G$89,[1]Лист1!$G$82)</c:f>
              <c:numCache>
                <c:formatCode>0.000</c:formatCode>
                <c:ptCount val="3"/>
                <c:pt idx="0">
                  <c:v>0.16975767501246852</c:v>
                </c:pt>
                <c:pt idx="1">
                  <c:v>0.16975767501246852</c:v>
                </c:pt>
                <c:pt idx="2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48-418D-A5EF-B7AB05F50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162671"/>
        <c:axId val="1870164751"/>
      </c:scatterChart>
      <c:valAx>
        <c:axId val="187016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164751"/>
        <c:crosses val="autoZero"/>
        <c:crossBetween val="midCat"/>
      </c:valAx>
      <c:valAx>
        <c:axId val="18701647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16267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903473</xdr:colOff>
      <xdr:row>79</xdr:row>
      <xdr:rowOff>40809</xdr:rowOff>
    </xdr:from>
    <xdr:to>
      <xdr:col>15</xdr:col>
      <xdr:colOff>487921</xdr:colOff>
      <xdr:row>93</xdr:row>
      <xdr:rowOff>117009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ABFA0B-579D-4B3D-92C1-66758537F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500a5\Downloads\M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80">
          <cell r="E80">
            <v>0.16975767501246852</v>
          </cell>
          <cell r="F80">
            <v>300</v>
          </cell>
        </row>
        <row r="81">
          <cell r="E81">
            <v>0.38243977201881618</v>
          </cell>
          <cell r="F81">
            <v>1000</v>
          </cell>
        </row>
        <row r="82">
          <cell r="E82">
            <v>0.50011108753629241</v>
          </cell>
          <cell r="F82">
            <v>1400</v>
          </cell>
          <cell r="G82">
            <v>0</v>
          </cell>
          <cell r="H82">
            <v>1</v>
          </cell>
        </row>
        <row r="83">
          <cell r="E83">
            <v>0.58833455212238306</v>
          </cell>
          <cell r="F83">
            <v>1700</v>
          </cell>
          <cell r="G83">
            <v>1000</v>
          </cell>
        </row>
        <row r="84">
          <cell r="E84">
            <v>0.87344327881359707</v>
          </cell>
          <cell r="F84">
            <v>1880</v>
          </cell>
        </row>
        <row r="85">
          <cell r="E85">
            <v>0.96043897533980993</v>
          </cell>
          <cell r="F85">
            <v>1980</v>
          </cell>
        </row>
        <row r="86">
          <cell r="E86">
            <v>0.99999999999999989</v>
          </cell>
          <cell r="F86">
            <v>2180</v>
          </cell>
          <cell r="G86">
            <v>3.9561024660190049E-2</v>
          </cell>
          <cell r="H86">
            <v>200</v>
          </cell>
        </row>
        <row r="87">
          <cell r="G87">
            <v>8.6995696526212835E-2</v>
          </cell>
          <cell r="H87">
            <v>300</v>
          </cell>
        </row>
        <row r="88">
          <cell r="G88">
            <v>0.11767131551747623</v>
          </cell>
          <cell r="H88">
            <v>700</v>
          </cell>
        </row>
        <row r="89">
          <cell r="G89">
            <v>0.16975767501246852</v>
          </cell>
          <cell r="H89">
            <v>1000</v>
          </cell>
        </row>
        <row r="90">
          <cell r="G90">
            <v>0.21268209700634769</v>
          </cell>
          <cell r="H90">
            <v>1700</v>
          </cell>
        </row>
        <row r="91">
          <cell r="G91">
            <v>0.28510872669121401</v>
          </cell>
          <cell r="H91">
            <v>1880</v>
          </cell>
        </row>
        <row r="92">
          <cell r="G92">
            <v>1</v>
          </cell>
          <cell r="H92">
            <v>2180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topLeftCell="A68" zoomScaleNormal="100" workbookViewId="0">
      <selection activeCell="B86" sqref="B86:B87"/>
    </sheetView>
  </sheetViews>
  <sheetFormatPr defaultRowHeight="15" x14ac:dyDescent="0.25"/>
  <cols>
    <col min="1" max="1" width="34.28515625" customWidth="1"/>
    <col min="2" max="2" width="37.5703125" customWidth="1"/>
    <col min="3" max="3" width="19.28515625" customWidth="1"/>
    <col min="4" max="4" width="25.28515625" customWidth="1"/>
    <col min="5" max="5" width="51.42578125" customWidth="1"/>
    <col min="6" max="6" width="23.85546875" customWidth="1"/>
    <col min="7" max="7" width="27.42578125" customWidth="1"/>
    <col min="8" max="8" width="33.85546875" customWidth="1"/>
    <col min="9" max="9" width="47.85546875" customWidth="1"/>
  </cols>
  <sheetData>
    <row r="1" spans="1:1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0</v>
      </c>
      <c r="B2" s="1">
        <v>1</v>
      </c>
      <c r="C2" s="1">
        <v>3</v>
      </c>
      <c r="D2" s="1">
        <v>5</v>
      </c>
      <c r="E2" s="1">
        <v>7</v>
      </c>
      <c r="F2" s="1">
        <v>9</v>
      </c>
      <c r="G2" s="3">
        <f>GEOMEAN(B2:F2)</f>
        <v>3.9362834270353515</v>
      </c>
      <c r="H2" s="3">
        <f>G2/SUM(G2:G6)</f>
        <v>0.51003872501686387</v>
      </c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1</v>
      </c>
      <c r="B3" s="2">
        <f>1/3</f>
        <v>0.33333333333333331</v>
      </c>
      <c r="C3" s="1">
        <v>1</v>
      </c>
      <c r="D3" s="1">
        <v>3</v>
      </c>
      <c r="E3" s="1">
        <v>5</v>
      </c>
      <c r="F3" s="1">
        <v>7</v>
      </c>
      <c r="G3" s="3">
        <f t="shared" ref="G3:G6" si="0">GEOMEAN(B3:F3)</f>
        <v>2.0361680046403978</v>
      </c>
      <c r="H3" s="3">
        <f>G3/SUM(G2:G6)</f>
        <v>0.26383377931428448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2</v>
      </c>
      <c r="B4" s="2">
        <f>1/5</f>
        <v>0.2</v>
      </c>
      <c r="C4" s="2">
        <f>1/3</f>
        <v>0.33333333333333331</v>
      </c>
      <c r="D4" s="1">
        <v>1</v>
      </c>
      <c r="E4" s="1">
        <v>3</v>
      </c>
      <c r="F4" s="1">
        <v>5</v>
      </c>
      <c r="G4" s="1">
        <f t="shared" si="0"/>
        <v>1</v>
      </c>
      <c r="H4" s="3">
        <f>G4/SUM(G2:G6)</f>
        <v>0.12957367894643815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3</v>
      </c>
      <c r="B5" s="2">
        <f>1/7</f>
        <v>0.14285714285714285</v>
      </c>
      <c r="C5" s="2">
        <f>1/5</f>
        <v>0.2</v>
      </c>
      <c r="D5" s="2">
        <f>1/3</f>
        <v>0.33333333333333331</v>
      </c>
      <c r="E5" s="1">
        <v>1</v>
      </c>
      <c r="F5" s="1">
        <v>3</v>
      </c>
      <c r="G5" s="3">
        <f t="shared" si="0"/>
        <v>0.49111860991873663</v>
      </c>
      <c r="H5" s="3">
        <f>G5/SUM(G2:G6)</f>
        <v>6.3636045086231371E-2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4</v>
      </c>
      <c r="B6" s="2">
        <f>1/9</f>
        <v>0.1111111111111111</v>
      </c>
      <c r="C6" s="2">
        <f>1/7</f>
        <v>0.14285714285714285</v>
      </c>
      <c r="D6" s="2">
        <f>1/5</f>
        <v>0.2</v>
      </c>
      <c r="E6" s="2">
        <f>1/3</f>
        <v>0.33333333333333331</v>
      </c>
      <c r="F6" s="1">
        <v>1</v>
      </c>
      <c r="G6" s="3">
        <f t="shared" si="0"/>
        <v>0.25404674702328517</v>
      </c>
      <c r="H6" s="3">
        <f>G6/SUM(G2:G6)</f>
        <v>3.291777163618214E-2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 t="s">
        <v>7</v>
      </c>
      <c r="C9" s="1" t="s">
        <v>8</v>
      </c>
      <c r="D9" s="1" t="s">
        <v>2</v>
      </c>
      <c r="E9" s="1" t="s">
        <v>9</v>
      </c>
      <c r="F9" s="1" t="s">
        <v>10</v>
      </c>
      <c r="G9" s="1" t="s">
        <v>5</v>
      </c>
      <c r="H9" s="1" t="s">
        <v>6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 t="s">
        <v>7</v>
      </c>
      <c r="B10" s="1">
        <v>1</v>
      </c>
      <c r="C10" s="1">
        <v>3</v>
      </c>
      <c r="D10" s="1">
        <v>5</v>
      </c>
      <c r="E10" s="1">
        <v>7</v>
      </c>
      <c r="F10" s="1">
        <v>9</v>
      </c>
      <c r="G10" s="3">
        <f>GEOMEAN(B10:F10)</f>
        <v>3.9362834270353515</v>
      </c>
      <c r="H10" s="3">
        <f>G10/SUM(G$10:G$14)</f>
        <v>0.51003872501686387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 t="s">
        <v>8</v>
      </c>
      <c r="B11" s="2">
        <f>1/3</f>
        <v>0.33333333333333331</v>
      </c>
      <c r="C11" s="1">
        <v>1</v>
      </c>
      <c r="D11" s="1">
        <v>3</v>
      </c>
      <c r="E11" s="1">
        <v>5</v>
      </c>
      <c r="F11" s="1">
        <v>7</v>
      </c>
      <c r="G11" s="3">
        <f t="shared" ref="G11:G14" si="1">GEOMEAN(B11:F11)</f>
        <v>2.0361680046403978</v>
      </c>
      <c r="H11" s="3">
        <f t="shared" ref="H11:H14" si="2">G11/SUM(G$10:G$14)</f>
        <v>0.26383377931428448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 t="s">
        <v>2</v>
      </c>
      <c r="B12" s="2">
        <f>1/5</f>
        <v>0.2</v>
      </c>
      <c r="C12" s="2">
        <f>1/3</f>
        <v>0.33333333333333331</v>
      </c>
      <c r="D12" s="1">
        <v>1</v>
      </c>
      <c r="E12" s="1">
        <v>3</v>
      </c>
      <c r="F12" s="1">
        <v>5</v>
      </c>
      <c r="G12" s="1">
        <f t="shared" si="1"/>
        <v>1</v>
      </c>
      <c r="H12" s="3">
        <f t="shared" si="2"/>
        <v>0.12957367894643815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 t="s">
        <v>9</v>
      </c>
      <c r="B13" s="2">
        <f>1/7</f>
        <v>0.14285714285714285</v>
      </c>
      <c r="C13" s="2">
        <f>1/5</f>
        <v>0.2</v>
      </c>
      <c r="D13" s="2">
        <f>1/3</f>
        <v>0.33333333333333331</v>
      </c>
      <c r="E13" s="1">
        <v>1</v>
      </c>
      <c r="F13" s="1">
        <v>3</v>
      </c>
      <c r="G13" s="3">
        <f t="shared" si="1"/>
        <v>0.49111860991873663</v>
      </c>
      <c r="H13" s="3">
        <f t="shared" si="2"/>
        <v>6.3636045086231371E-2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 t="s">
        <v>10</v>
      </c>
      <c r="B14" s="2">
        <f>1/9</f>
        <v>0.1111111111111111</v>
      </c>
      <c r="C14" s="2">
        <f>1/7</f>
        <v>0.14285714285714285</v>
      </c>
      <c r="D14" s="2">
        <f>1/5</f>
        <v>0.2</v>
      </c>
      <c r="E14" s="2">
        <f>1/3</f>
        <v>0.33333333333333331</v>
      </c>
      <c r="F14" s="1">
        <v>1</v>
      </c>
      <c r="G14" s="3">
        <f t="shared" si="1"/>
        <v>0.25404674702328517</v>
      </c>
      <c r="H14" s="3">
        <f t="shared" si="2"/>
        <v>3.291777163618214E-2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 t="s">
        <v>11</v>
      </c>
      <c r="C17" s="1" t="s">
        <v>12</v>
      </c>
      <c r="D17" s="1" t="s">
        <v>13</v>
      </c>
      <c r="E17" s="1" t="s">
        <v>5</v>
      </c>
      <c r="F17" s="1" t="s">
        <v>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11</v>
      </c>
      <c r="B18" s="1">
        <v>1</v>
      </c>
      <c r="C18" s="1">
        <v>5</v>
      </c>
      <c r="D18" s="1">
        <v>9</v>
      </c>
      <c r="E18" s="3">
        <f>GEOMEAN(B18:D18)</f>
        <v>3.556893304490063</v>
      </c>
      <c r="F18" s="3">
        <f>E18/SUM(E$18:E$20)</f>
        <v>0.73519340955622181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12</v>
      </c>
      <c r="B19" s="2">
        <f>1/5</f>
        <v>0.2</v>
      </c>
      <c r="C19" s="1">
        <v>1</v>
      </c>
      <c r="D19" s="1">
        <v>5</v>
      </c>
      <c r="E19" s="1">
        <f t="shared" ref="E19:E20" si="3">GEOMEAN(B19:D19)</f>
        <v>1</v>
      </c>
      <c r="F19" s="3">
        <f t="shared" ref="F19:F20" si="4">E19/SUM(E$18:E$20)</f>
        <v>0.20669537897809487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13</v>
      </c>
      <c r="B20" s="2">
        <f>1/9</f>
        <v>0.1111111111111111</v>
      </c>
      <c r="C20" s="2">
        <f>1/5</f>
        <v>0.2</v>
      </c>
      <c r="D20" s="1">
        <v>1</v>
      </c>
      <c r="E20" s="3">
        <f t="shared" si="3"/>
        <v>0.28114422176724974</v>
      </c>
      <c r="F20" s="3">
        <f t="shared" si="4"/>
        <v>5.8111211465683238E-2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/>
      <c r="B23" s="1" t="s">
        <v>14</v>
      </c>
      <c r="C23" s="1" t="s">
        <v>15</v>
      </c>
      <c r="D23" s="1" t="s">
        <v>5</v>
      </c>
      <c r="E23" s="1" t="s">
        <v>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14</v>
      </c>
      <c r="B24" s="1">
        <v>1</v>
      </c>
      <c r="C24" s="1">
        <v>9</v>
      </c>
      <c r="D24" s="1">
        <f>GEOMEAN(B24:C24)</f>
        <v>3</v>
      </c>
      <c r="E24" s="1">
        <f>D24/SUM(D$24:D$25)</f>
        <v>0.89999999999999991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 t="s">
        <v>15</v>
      </c>
      <c r="B25" s="2">
        <f>1/9</f>
        <v>0.1111111111111111</v>
      </c>
      <c r="C25" s="1">
        <v>1</v>
      </c>
      <c r="D25" s="3">
        <f>GEOMEAN(B25:C25)</f>
        <v>0.33333333333333331</v>
      </c>
      <c r="E25" s="1">
        <f>D25/SUM(D$24:D$25)</f>
        <v>9.9999999999999992E-2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.75" x14ac:dyDescent="0.3">
      <c r="A28" s="10"/>
      <c r="B28" s="10" t="s">
        <v>33</v>
      </c>
      <c r="C28" s="10" t="s">
        <v>17</v>
      </c>
      <c r="D28" s="10" t="s">
        <v>16</v>
      </c>
      <c r="E28" s="10" t="s">
        <v>34</v>
      </c>
      <c r="F28" s="10" t="s">
        <v>19</v>
      </c>
      <c r="G28" s="10" t="s">
        <v>20</v>
      </c>
      <c r="H28" s="10" t="s">
        <v>21</v>
      </c>
      <c r="I28" s="10" t="s">
        <v>22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ht="18.75" x14ac:dyDescent="0.3">
      <c r="A29" s="10" t="s">
        <v>33</v>
      </c>
      <c r="B29" s="7">
        <v>1</v>
      </c>
      <c r="C29" s="7">
        <v>5</v>
      </c>
      <c r="D29" s="7">
        <v>3</v>
      </c>
      <c r="E29" s="7">
        <v>1</v>
      </c>
      <c r="F29" s="7">
        <v>5</v>
      </c>
      <c r="G29" s="7">
        <v>3</v>
      </c>
      <c r="H29" s="8">
        <f>GEOMEAN(B29:G29)</f>
        <v>2.4662120743304699</v>
      </c>
      <c r="I29" s="8">
        <f>H29/SUM(H$29:H$34)</f>
        <v>0.32859316137041622</v>
      </c>
      <c r="J29" s="1"/>
      <c r="K29" s="1"/>
      <c r="L29" s="1"/>
      <c r="M29" s="1"/>
      <c r="N29" s="1"/>
      <c r="O29" s="1"/>
      <c r="P29" s="1"/>
      <c r="Q29" s="1"/>
      <c r="R29" s="1"/>
    </row>
    <row r="30" spans="1:18" ht="18.75" x14ac:dyDescent="0.3">
      <c r="A30" s="10" t="s">
        <v>17</v>
      </c>
      <c r="B30" s="9">
        <f>1/5</f>
        <v>0.2</v>
      </c>
      <c r="C30" s="7">
        <v>1</v>
      </c>
      <c r="D30" s="9">
        <f>1/3</f>
        <v>0.33333333333333331</v>
      </c>
      <c r="E30" s="9">
        <f>1/5</f>
        <v>0.2</v>
      </c>
      <c r="F30" s="7">
        <v>1</v>
      </c>
      <c r="G30" s="7">
        <v>1</v>
      </c>
      <c r="H30" s="8">
        <f t="shared" ref="H30:H34" si="5">GEOMEAN(B30:G30)</f>
        <v>0.48695607635528848</v>
      </c>
      <c r="I30" s="8">
        <f t="shared" ref="I30:I34" si="6">H30/SUM(H$29:H$34)</f>
        <v>6.4881053111200029E-2</v>
      </c>
      <c r="J30" s="1"/>
      <c r="K30" s="1"/>
      <c r="L30" s="1"/>
      <c r="M30" s="1"/>
      <c r="N30" s="1"/>
      <c r="O30" s="1"/>
      <c r="P30" s="1"/>
      <c r="Q30" s="1"/>
      <c r="R30" s="1"/>
    </row>
    <row r="31" spans="1:18" ht="18.75" x14ac:dyDescent="0.3">
      <c r="A31" s="10" t="s">
        <v>16</v>
      </c>
      <c r="B31" s="9">
        <f>1/3</f>
        <v>0.33333333333333331</v>
      </c>
      <c r="C31" s="7">
        <v>3</v>
      </c>
      <c r="D31" s="7">
        <v>1</v>
      </c>
      <c r="E31" s="7">
        <v>7</v>
      </c>
      <c r="F31" s="7">
        <v>5</v>
      </c>
      <c r="G31" s="7">
        <v>3</v>
      </c>
      <c r="H31" s="8">
        <f t="shared" si="5"/>
        <v>2.1720253176048692</v>
      </c>
      <c r="I31" s="8">
        <f t="shared" si="6"/>
        <v>0.2893963066343862</v>
      </c>
      <c r="J31" s="1"/>
      <c r="K31" s="1"/>
      <c r="L31" s="1"/>
      <c r="M31" s="1"/>
      <c r="N31" s="1"/>
      <c r="O31" s="1"/>
      <c r="P31" s="1"/>
      <c r="Q31" s="1"/>
      <c r="R31" s="1"/>
    </row>
    <row r="32" spans="1:18" ht="18.75" x14ac:dyDescent="0.3">
      <c r="A32" s="10" t="s">
        <v>34</v>
      </c>
      <c r="B32" s="7">
        <v>1</v>
      </c>
      <c r="C32" s="7">
        <v>5</v>
      </c>
      <c r="D32" s="9">
        <f>1/7</f>
        <v>0.14285714285714285</v>
      </c>
      <c r="E32" s="7">
        <v>1</v>
      </c>
      <c r="F32" s="7">
        <v>1</v>
      </c>
      <c r="G32" s="7">
        <v>5</v>
      </c>
      <c r="H32" s="8">
        <f t="shared" si="5"/>
        <v>1.2363468541086677</v>
      </c>
      <c r="I32" s="8">
        <f t="shared" si="6"/>
        <v>0.1647283806491891</v>
      </c>
      <c r="J32" s="1"/>
      <c r="K32" s="1"/>
      <c r="L32" s="1"/>
      <c r="M32" s="1"/>
      <c r="N32" s="1"/>
      <c r="O32" s="1"/>
      <c r="P32" s="1"/>
      <c r="Q32" s="1"/>
      <c r="R32" s="1"/>
    </row>
    <row r="33" spans="1:18" ht="18.75" x14ac:dyDescent="0.3">
      <c r="A33" s="10" t="s">
        <v>19</v>
      </c>
      <c r="B33" s="9">
        <f>1/5</f>
        <v>0.2</v>
      </c>
      <c r="C33" s="7">
        <v>1</v>
      </c>
      <c r="D33" s="9">
        <f>1/5</f>
        <v>0.2</v>
      </c>
      <c r="E33" s="7">
        <v>1</v>
      </c>
      <c r="F33" s="7">
        <v>1</v>
      </c>
      <c r="G33" s="7">
        <v>3</v>
      </c>
      <c r="H33" s="8">
        <f t="shared" si="5"/>
        <v>0.70231219188199634</v>
      </c>
      <c r="I33" s="8">
        <f t="shared" si="6"/>
        <v>9.3574670970720392E-2</v>
      </c>
      <c r="J33" s="1"/>
      <c r="K33" s="1"/>
      <c r="L33" s="1"/>
      <c r="M33" s="1"/>
      <c r="N33" s="1"/>
      <c r="O33" s="1"/>
      <c r="P33" s="1"/>
      <c r="Q33" s="1"/>
      <c r="R33" s="1"/>
    </row>
    <row r="34" spans="1:18" ht="18.75" x14ac:dyDescent="0.3">
      <c r="A34" s="10" t="s">
        <v>20</v>
      </c>
      <c r="B34" s="9">
        <f>1/3</f>
        <v>0.33333333333333331</v>
      </c>
      <c r="C34" s="7">
        <v>1</v>
      </c>
      <c r="D34" s="9">
        <f>1/3</f>
        <v>0.33333333333333331</v>
      </c>
      <c r="E34" s="9">
        <f>1/5</f>
        <v>0.2</v>
      </c>
      <c r="F34" s="9">
        <f>1/3</f>
        <v>0.33333333333333331</v>
      </c>
      <c r="G34" s="7">
        <v>1</v>
      </c>
      <c r="H34" s="8">
        <f t="shared" si="5"/>
        <v>0.44151389092627397</v>
      </c>
      <c r="I34" s="8">
        <f t="shared" si="6"/>
        <v>5.8826427264088203E-2</v>
      </c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.75" x14ac:dyDescent="0.3">
      <c r="A37" s="7"/>
      <c r="B37" s="7" t="s">
        <v>33</v>
      </c>
      <c r="C37" s="7" t="s">
        <v>17</v>
      </c>
      <c r="D37" s="7" t="s">
        <v>16</v>
      </c>
      <c r="E37" s="7" t="s">
        <v>18</v>
      </c>
      <c r="F37" s="7" t="s">
        <v>19</v>
      </c>
      <c r="G37" s="7" t="s">
        <v>20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.75" x14ac:dyDescent="0.3">
      <c r="A38" s="7" t="s">
        <v>35</v>
      </c>
      <c r="B38" s="7" t="s">
        <v>14</v>
      </c>
      <c r="C38" s="7" t="s">
        <v>1</v>
      </c>
      <c r="D38" s="7" t="s">
        <v>9</v>
      </c>
      <c r="E38" s="7" t="s">
        <v>9</v>
      </c>
      <c r="F38" s="7" t="s">
        <v>11</v>
      </c>
      <c r="G38" s="7" t="s">
        <v>14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.75" x14ac:dyDescent="0.3">
      <c r="A39" s="7" t="s">
        <v>23</v>
      </c>
      <c r="B39" s="7" t="s">
        <v>14</v>
      </c>
      <c r="C39" s="7" t="s">
        <v>2</v>
      </c>
      <c r="D39" s="7" t="s">
        <v>2</v>
      </c>
      <c r="E39" s="7" t="s">
        <v>9</v>
      </c>
      <c r="F39" s="7" t="s">
        <v>11</v>
      </c>
      <c r="G39" s="7" t="s">
        <v>14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.75" x14ac:dyDescent="0.3">
      <c r="A40" s="7" t="s">
        <v>36</v>
      </c>
      <c r="B40" s="7" t="s">
        <v>15</v>
      </c>
      <c r="C40" s="7" t="s">
        <v>2</v>
      </c>
      <c r="D40" s="7" t="s">
        <v>9</v>
      </c>
      <c r="E40" s="7" t="s">
        <v>2</v>
      </c>
      <c r="F40" s="7" t="s">
        <v>12</v>
      </c>
      <c r="G40" s="7" t="s">
        <v>15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.75" x14ac:dyDescent="0.3">
      <c r="A41" s="7" t="s">
        <v>24</v>
      </c>
      <c r="B41" s="7" t="s">
        <v>15</v>
      </c>
      <c r="C41" s="7" t="s">
        <v>0</v>
      </c>
      <c r="D41" s="7" t="s">
        <v>10</v>
      </c>
      <c r="E41" s="7" t="s">
        <v>9</v>
      </c>
      <c r="F41" s="7" t="s">
        <v>11</v>
      </c>
      <c r="G41" s="7" t="s">
        <v>14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.75" x14ac:dyDescent="0.3">
      <c r="A42" s="7" t="s">
        <v>37</v>
      </c>
      <c r="B42" s="7" t="s">
        <v>14</v>
      </c>
      <c r="C42" s="7" t="s">
        <v>1</v>
      </c>
      <c r="D42" s="7" t="s">
        <v>7</v>
      </c>
      <c r="E42" s="7" t="s">
        <v>2</v>
      </c>
      <c r="F42" s="7" t="s">
        <v>11</v>
      </c>
      <c r="G42" s="7" t="s">
        <v>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.75" x14ac:dyDescent="0.3">
      <c r="A43" s="7" t="s">
        <v>25</v>
      </c>
      <c r="B43" s="7" t="s">
        <v>15</v>
      </c>
      <c r="C43" s="7" t="s">
        <v>1</v>
      </c>
      <c r="D43" s="7" t="s">
        <v>2</v>
      </c>
      <c r="E43" s="7" t="s">
        <v>9</v>
      </c>
      <c r="F43" s="7" t="s">
        <v>11</v>
      </c>
      <c r="G43" s="7" t="s">
        <v>15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.75" x14ac:dyDescent="0.3">
      <c r="A44" s="7" t="s">
        <v>38</v>
      </c>
      <c r="B44" s="7" t="s">
        <v>15</v>
      </c>
      <c r="C44" s="7" t="s">
        <v>3</v>
      </c>
      <c r="D44" s="7" t="s">
        <v>9</v>
      </c>
      <c r="E44" s="7" t="s">
        <v>8</v>
      </c>
      <c r="F44" s="7" t="s">
        <v>13</v>
      </c>
      <c r="G44" s="7" t="s">
        <v>15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 t="s">
        <v>33</v>
      </c>
      <c r="C47" s="1" t="s">
        <v>17</v>
      </c>
      <c r="D47" s="1" t="s">
        <v>16</v>
      </c>
      <c r="E47" s="1" t="s">
        <v>18</v>
      </c>
      <c r="F47" s="1" t="s">
        <v>19</v>
      </c>
      <c r="G47" s="1" t="s">
        <v>20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>
        <v>0.328593161370416</v>
      </c>
      <c r="C48" s="3">
        <v>6.4881053111200029E-2</v>
      </c>
      <c r="D48" s="3">
        <v>0.28939630663438598</v>
      </c>
      <c r="E48" s="3">
        <v>6.3636045086231399E-2</v>
      </c>
      <c r="F48" s="3">
        <v>9.3574670970720392E-2</v>
      </c>
      <c r="G48" s="3">
        <v>5.8826427264088203E-2</v>
      </c>
      <c r="H48" s="1"/>
      <c r="I48" s="1"/>
      <c r="J48" s="3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 t="s">
        <v>35</v>
      </c>
      <c r="B49" s="3">
        <v>0.9</v>
      </c>
      <c r="C49" s="3">
        <v>0.26383377931428398</v>
      </c>
      <c r="D49" s="3">
        <v>6.3636045086231371E-2</v>
      </c>
      <c r="E49" s="3">
        <v>6.3636045086231399E-2</v>
      </c>
      <c r="F49" s="3">
        <v>0.73519340955622203</v>
      </c>
      <c r="G49" s="3">
        <v>0.9</v>
      </c>
      <c r="H49" s="1"/>
      <c r="I49" s="1"/>
      <c r="J49" s="3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1" t="s">
        <v>23</v>
      </c>
      <c r="B50" s="3">
        <v>0.9</v>
      </c>
      <c r="C50" s="3">
        <v>0.12957367894643801</v>
      </c>
      <c r="D50" s="3">
        <v>0.28939630663438598</v>
      </c>
      <c r="E50" s="3">
        <v>6.3636045086231399E-2</v>
      </c>
      <c r="F50" s="3">
        <v>0.73519340955622181</v>
      </c>
      <c r="G50" s="3">
        <v>0.9</v>
      </c>
      <c r="H50" s="1"/>
      <c r="I50" s="1"/>
      <c r="J50" s="3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1" t="s">
        <v>36</v>
      </c>
      <c r="B51" s="3">
        <v>0.1</v>
      </c>
      <c r="C51" s="3">
        <v>0.12957367894643801</v>
      </c>
      <c r="D51" s="3">
        <v>0.26383377931428448</v>
      </c>
      <c r="E51" s="3">
        <v>0.12957367894643801</v>
      </c>
      <c r="F51" s="3">
        <v>0.20669537897809501</v>
      </c>
      <c r="G51" s="3">
        <v>0.1</v>
      </c>
      <c r="H51" s="1"/>
      <c r="I51" s="1"/>
      <c r="J51" s="3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1" t="s">
        <v>24</v>
      </c>
      <c r="B52" s="3">
        <v>0.1</v>
      </c>
      <c r="C52" s="3">
        <v>0.51003872501686387</v>
      </c>
      <c r="D52" s="3">
        <v>3.291777163618214E-2</v>
      </c>
      <c r="E52" s="3">
        <v>6.3636045086231399E-2</v>
      </c>
      <c r="F52" s="3">
        <v>0.73519340955622181</v>
      </c>
      <c r="G52" s="3">
        <v>0.9</v>
      </c>
      <c r="H52" s="1"/>
      <c r="I52" s="1"/>
      <c r="J52" s="3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1" t="s">
        <v>37</v>
      </c>
      <c r="B53" s="3">
        <v>0.9</v>
      </c>
      <c r="C53" s="3">
        <v>0.26383377931428448</v>
      </c>
      <c r="D53" s="3">
        <v>0.51003872501686387</v>
      </c>
      <c r="E53" s="3">
        <v>0.12957367894643801</v>
      </c>
      <c r="F53" s="3">
        <v>0.73519340955622181</v>
      </c>
      <c r="G53" s="3">
        <v>0.9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1" t="s">
        <v>25</v>
      </c>
      <c r="B54" s="3">
        <v>0.1</v>
      </c>
      <c r="C54" s="3">
        <v>0.26383377931428398</v>
      </c>
      <c r="D54" s="3">
        <v>0.12957367894643801</v>
      </c>
      <c r="E54" s="3">
        <v>6.3636045086231371E-2</v>
      </c>
      <c r="F54" s="3">
        <v>0.73519340955622181</v>
      </c>
      <c r="G54" s="3">
        <v>0.1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1" t="s">
        <v>39</v>
      </c>
      <c r="B55" s="3">
        <v>0.1</v>
      </c>
      <c r="C55" s="3">
        <v>6.3636045086231399E-2</v>
      </c>
      <c r="D55" s="3">
        <v>6.3636045086231399E-2</v>
      </c>
      <c r="E55" s="3">
        <v>3.2917771636182099E-2</v>
      </c>
      <c r="F55" s="3">
        <v>5.8111211465683238E-2</v>
      </c>
      <c r="G55" s="3">
        <v>0.1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1"/>
      <c r="B58" s="1" t="s">
        <v>33</v>
      </c>
      <c r="C58" s="1" t="s">
        <v>17</v>
      </c>
      <c r="D58" s="1" t="s">
        <v>16</v>
      </c>
      <c r="E58" s="1" t="s">
        <v>18</v>
      </c>
      <c r="F58" s="1" t="s">
        <v>19</v>
      </c>
      <c r="G58" s="1" t="s">
        <v>20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5">
      <c r="A59" s="1"/>
      <c r="B59" s="3">
        <v>0.328593161370416</v>
      </c>
      <c r="C59" s="3">
        <v>6.4881053111200029E-2</v>
      </c>
      <c r="D59" s="3">
        <v>0.2893963066343862</v>
      </c>
      <c r="E59" s="3">
        <v>0.1647283806491891</v>
      </c>
      <c r="F59" s="3">
        <v>9.3574670970720392E-2</v>
      </c>
      <c r="G59" s="3">
        <v>5.8826427264088203E-2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5">
      <c r="A60" s="1" t="s">
        <v>35</v>
      </c>
      <c r="B60" s="3">
        <f>B49/SUM(B$49:B$55)</f>
        <v>0.29032258064516131</v>
      </c>
      <c r="C60" s="3">
        <f t="shared" ref="B60:G66" si="7">C49/SUM(C$49:C$55)</f>
        <v>0.16242687176953008</v>
      </c>
      <c r="D60" s="3">
        <f t="shared" si="7"/>
        <v>4.7032168155703748E-2</v>
      </c>
      <c r="E60" s="3">
        <f t="shared" si="7"/>
        <v>0.1164196144059496</v>
      </c>
      <c r="F60" s="3">
        <f t="shared" si="7"/>
        <v>0.18656067997028833</v>
      </c>
      <c r="G60" s="3">
        <f>G49/SUM(G$49:G$55)</f>
        <v>0.23076923076923075</v>
      </c>
      <c r="H60" s="1"/>
      <c r="I60" s="1"/>
      <c r="J60" s="1"/>
      <c r="K60" s="1"/>
      <c r="L60" s="1"/>
      <c r="M60" s="1">
        <v>4.0437863207314698E-2</v>
      </c>
      <c r="N60" s="1"/>
      <c r="O60" s="1"/>
      <c r="P60" s="1"/>
      <c r="Q60" s="1"/>
      <c r="R60" s="1"/>
    </row>
    <row r="61" spans="1:18" x14ac:dyDescent="0.25">
      <c r="A61" s="1" t="s">
        <v>23</v>
      </c>
      <c r="B61" s="3">
        <f t="shared" si="7"/>
        <v>0.29032258064516131</v>
      </c>
      <c r="C61" s="3">
        <f t="shared" si="7"/>
        <v>7.9770859476900574E-2</v>
      </c>
      <c r="D61" s="3">
        <f t="shared" si="7"/>
        <v>0.21388720400245267</v>
      </c>
      <c r="E61" s="3">
        <f t="shared" si="7"/>
        <v>0.1164196144059496</v>
      </c>
      <c r="F61" s="3">
        <f t="shared" si="7"/>
        <v>0.18656067997028827</v>
      </c>
      <c r="G61" s="3">
        <f>G50/SUM(G$49:G$55)</f>
        <v>0.23076923076923075</v>
      </c>
      <c r="H61" s="1"/>
      <c r="I61" s="1"/>
      <c r="J61" s="1"/>
      <c r="K61" s="1"/>
      <c r="L61" s="1"/>
      <c r="M61" s="1">
        <v>0.32410681972327099</v>
      </c>
      <c r="N61" s="1"/>
      <c r="O61" s="1"/>
      <c r="P61" s="1"/>
      <c r="Q61" s="1"/>
      <c r="R61" s="1"/>
    </row>
    <row r="62" spans="1:18" x14ac:dyDescent="0.25">
      <c r="A62" s="1" t="s">
        <v>36</v>
      </c>
      <c r="B62" s="3">
        <f t="shared" si="7"/>
        <v>3.2258064516129031E-2</v>
      </c>
      <c r="C62" s="3">
        <f t="shared" si="7"/>
        <v>7.9770859476900574E-2</v>
      </c>
      <c r="D62" s="3">
        <f t="shared" si="7"/>
        <v>0.19499443526148777</v>
      </c>
      <c r="E62" s="3">
        <f t="shared" si="7"/>
        <v>0.2370498939659666</v>
      </c>
      <c r="F62" s="3">
        <f t="shared" si="7"/>
        <v>5.2450457182615665E-2</v>
      </c>
      <c r="G62" s="3">
        <f t="shared" si="7"/>
        <v>2.564102564102564E-2</v>
      </c>
      <c r="H62" s="1"/>
      <c r="I62" s="1"/>
      <c r="J62" s="1"/>
      <c r="K62" s="1"/>
      <c r="L62" s="1"/>
      <c r="M62" s="1">
        <v>0.16765457788778051</v>
      </c>
      <c r="N62" s="1"/>
      <c r="O62" s="1"/>
      <c r="P62" s="1"/>
      <c r="Q62" s="1"/>
      <c r="R62" s="1"/>
    </row>
    <row r="63" spans="1:18" x14ac:dyDescent="0.25">
      <c r="A63" s="1" t="s">
        <v>24</v>
      </c>
      <c r="B63" s="3">
        <f t="shared" si="7"/>
        <v>3.2258064516129031E-2</v>
      </c>
      <c r="C63" s="3">
        <f t="shared" si="7"/>
        <v>0.31400071211928998</v>
      </c>
      <c r="D63" s="3">
        <f t="shared" si="7"/>
        <v>2.4328887328023928E-2</v>
      </c>
      <c r="E63" s="3">
        <f t="shared" si="7"/>
        <v>0.1164196144059496</v>
      </c>
      <c r="F63" s="3">
        <f t="shared" si="7"/>
        <v>0.18656067997028827</v>
      </c>
      <c r="G63" s="3">
        <f t="shared" si="7"/>
        <v>0.23076923076923075</v>
      </c>
      <c r="H63" s="1"/>
      <c r="I63" s="1"/>
      <c r="J63" s="1"/>
      <c r="K63" s="1"/>
      <c r="L63" s="1"/>
      <c r="M63" s="1">
        <v>2.0917773012288692E-2</v>
      </c>
      <c r="N63" s="1"/>
      <c r="O63" s="1"/>
      <c r="P63" s="1"/>
      <c r="Q63" s="1"/>
      <c r="R63" s="1"/>
    </row>
    <row r="64" spans="1:18" x14ac:dyDescent="0.25">
      <c r="A64" s="1" t="s">
        <v>37</v>
      </c>
      <c r="B64" s="3">
        <f t="shared" si="7"/>
        <v>0.29032258064516131</v>
      </c>
      <c r="C64" s="3">
        <f t="shared" si="7"/>
        <v>0.16242687176953038</v>
      </c>
      <c r="D64" s="3">
        <f t="shared" si="7"/>
        <v>0.37695974110911717</v>
      </c>
      <c r="E64" s="3">
        <f t="shared" si="7"/>
        <v>0.2370498939659666</v>
      </c>
      <c r="F64" s="3">
        <f t="shared" si="7"/>
        <v>0.18656067997028827</v>
      </c>
      <c r="G64" s="3">
        <f t="shared" si="7"/>
        <v>0.23076923076923075</v>
      </c>
      <c r="H64" s="1"/>
      <c r="I64" s="1"/>
      <c r="J64" s="1"/>
      <c r="K64" s="1"/>
      <c r="L64" s="1"/>
      <c r="M64" s="1">
        <v>0.32410681972327099</v>
      </c>
      <c r="N64" s="1"/>
      <c r="O64" s="1"/>
      <c r="P64" s="1"/>
      <c r="Q64" s="1"/>
      <c r="R64" s="1"/>
    </row>
    <row r="65" spans="1:18" x14ac:dyDescent="0.25">
      <c r="A65" s="1" t="s">
        <v>25</v>
      </c>
      <c r="B65" s="3">
        <f t="shared" si="7"/>
        <v>3.2258064516129031E-2</v>
      </c>
      <c r="C65" s="3">
        <f t="shared" si="7"/>
        <v>0.16242687176953008</v>
      </c>
      <c r="D65" s="3">
        <f t="shared" si="7"/>
        <v>9.5765395987510882E-2</v>
      </c>
      <c r="E65" s="3">
        <f t="shared" si="7"/>
        <v>0.11641961440594954</v>
      </c>
      <c r="F65" s="3">
        <f t="shared" si="7"/>
        <v>0.18656067997028827</v>
      </c>
      <c r="G65" s="3">
        <f t="shared" si="7"/>
        <v>2.564102564102564E-2</v>
      </c>
      <c r="H65" s="1"/>
      <c r="I65" s="1"/>
      <c r="J65" s="1"/>
      <c r="K65" s="1"/>
      <c r="L65" s="1"/>
      <c r="M65" s="1">
        <v>4.0437863207314698E-2</v>
      </c>
      <c r="N65" s="1"/>
      <c r="O65" s="1"/>
      <c r="P65" s="1"/>
      <c r="Q65" s="1"/>
      <c r="R65" s="1"/>
    </row>
    <row r="66" spans="1:18" x14ac:dyDescent="0.25">
      <c r="A66" s="1" t="s">
        <v>39</v>
      </c>
      <c r="B66" s="3">
        <f t="shared" si="7"/>
        <v>3.2258064516129031E-2</v>
      </c>
      <c r="C66" s="3">
        <f t="shared" si="7"/>
        <v>3.9176953618318348E-2</v>
      </c>
      <c r="D66" s="3">
        <f t="shared" si="7"/>
        <v>4.7032168155703769E-2</v>
      </c>
      <c r="E66" s="3">
        <f t="shared" si="7"/>
        <v>6.0221754444268465E-2</v>
      </c>
      <c r="F66" s="3">
        <f t="shared" si="7"/>
        <v>1.4746142965942927E-2</v>
      </c>
      <c r="G66" s="3">
        <f>G55/SUM(G$49:G$55)</f>
        <v>2.564102564102564E-2</v>
      </c>
      <c r="H66" s="1"/>
      <c r="I66" s="1"/>
      <c r="J66" s="1"/>
      <c r="K66" s="1"/>
      <c r="L66" s="1"/>
      <c r="M66" s="1">
        <v>8.2338283238759344E-2</v>
      </c>
      <c r="N66" s="1"/>
      <c r="O66" s="1"/>
      <c r="P66" s="1"/>
      <c r="Q66" s="1"/>
      <c r="R66" s="1"/>
    </row>
    <row r="67" spans="1:18" x14ac:dyDescent="0.25">
      <c r="A67" s="1"/>
      <c r="B67" s="3">
        <f>SUM(B60:B66)</f>
        <v>1</v>
      </c>
      <c r="C67" s="1"/>
      <c r="D67" s="1"/>
      <c r="E67" s="1"/>
      <c r="F67" s="1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A69" s="1"/>
      <c r="B69" s="1" t="s">
        <v>26</v>
      </c>
      <c r="C69" s="1" t="s">
        <v>27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 s="1" t="s">
        <v>35</v>
      </c>
      <c r="B70" s="3">
        <f>SUM(B60*$B$59,C60*$C$59,D60*$D$59,E60*$E$59,F60*$F$59,G60*$G$59)</f>
        <v>0.16975767501246852</v>
      </c>
      <c r="C70" s="1">
        <v>300</v>
      </c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A71" s="1" t="s">
        <v>23</v>
      </c>
      <c r="B71" s="3">
        <f>SUM(B61*$B$59,C61*$C$59,D61*$D$59,E61*$E$59,F61*$F$59,G61*$G$59)</f>
        <v>0.21268209700634769</v>
      </c>
      <c r="C71" s="1">
        <v>700</v>
      </c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5">
      <c r="A72" s="1" t="s">
        <v>36</v>
      </c>
      <c r="B72" s="3">
        <f>SUM(B62*$B$59,C62*$C$59,D62*$D$59,E62*$E$59,F62*$F$59,G62*$G$59)</f>
        <v>0.11767131551747623</v>
      </c>
      <c r="C72" s="1">
        <v>400</v>
      </c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A73" s="1" t="s">
        <v>24</v>
      </c>
      <c r="B73" s="3">
        <f t="shared" ref="B73:B75" si="8">SUM(B63*$B$59,C63*$C$59,D63*$D$59,E63*$E$59,F63*$F$59,G63*$G$59)</f>
        <v>8.8223464586090622E-2</v>
      </c>
      <c r="C73" s="1">
        <v>300</v>
      </c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5">
      <c r="A74" s="1" t="s">
        <v>37</v>
      </c>
      <c r="B74" s="3">
        <f t="shared" si="8"/>
        <v>0.28510872669121401</v>
      </c>
      <c r="C74" s="1">
        <v>180</v>
      </c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5">
      <c r="A75" s="1" t="s">
        <v>25</v>
      </c>
      <c r="B75" s="3">
        <f t="shared" si="8"/>
        <v>8.6995696526212835E-2</v>
      </c>
      <c r="C75" s="1">
        <v>100</v>
      </c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A76" s="1" t="s">
        <v>39</v>
      </c>
      <c r="B76" s="3">
        <f>SUM(B66*$B$59,C66*$C$59,D66*$D$59,E66*$E$59,F66*$F$59,G66*$G$59)</f>
        <v>3.9561024660190049E-2</v>
      </c>
      <c r="C76" s="1">
        <v>200</v>
      </c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5">
      <c r="A77" s="1" t="s">
        <v>28</v>
      </c>
      <c r="B77" s="3">
        <f>SUM(B70:B76)</f>
        <v>1</v>
      </c>
      <c r="C77" s="1">
        <f>SUM(C70:C76)</f>
        <v>2180</v>
      </c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11" t="s">
        <v>29</v>
      </c>
      <c r="B79" s="11" t="s">
        <v>26</v>
      </c>
      <c r="C79" s="11" t="s">
        <v>27</v>
      </c>
      <c r="D79" s="11" t="s">
        <v>30</v>
      </c>
      <c r="E79" s="11" t="s">
        <v>31</v>
      </c>
      <c r="F79" s="11" t="s">
        <v>32</v>
      </c>
      <c r="G79" s="11"/>
      <c r="H79" s="1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4" t="s">
        <v>35</v>
      </c>
      <c r="B80" s="5">
        <v>0.16975767501246852</v>
      </c>
      <c r="C80" s="4">
        <v>300</v>
      </c>
      <c r="D80" s="4">
        <f>B80/C80</f>
        <v>5.6585891670822845E-4</v>
      </c>
      <c r="E80" s="5">
        <f>B80</f>
        <v>0.16975767501246852</v>
      </c>
      <c r="F80" s="4">
        <f>C80</f>
        <v>300</v>
      </c>
      <c r="G80" s="11"/>
      <c r="H80" s="1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5">
      <c r="A81" s="11" t="s">
        <v>23</v>
      </c>
      <c r="B81" s="12">
        <v>0.21268209700634769</v>
      </c>
      <c r="C81" s="11">
        <v>700</v>
      </c>
      <c r="D81" s="11">
        <f t="shared" ref="D81:D86" si="9">B81/C81</f>
        <v>3.0383156715192526E-4</v>
      </c>
      <c r="E81" s="12">
        <f>E80+B81</f>
        <v>0.38243977201881618</v>
      </c>
      <c r="F81" s="11">
        <f>F80+C81</f>
        <v>1000</v>
      </c>
      <c r="G81" s="11"/>
      <c r="H81" s="1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s="1" t="s">
        <v>36</v>
      </c>
      <c r="B82" s="12">
        <v>0.11767131551747623</v>
      </c>
      <c r="C82" s="11">
        <v>400</v>
      </c>
      <c r="D82" s="11">
        <f t="shared" si="9"/>
        <v>2.9417828879369054E-4</v>
      </c>
      <c r="E82" s="12">
        <f t="shared" ref="E82:F86" si="10">E81+B82</f>
        <v>0.50011108753629241</v>
      </c>
      <c r="F82" s="11">
        <f t="shared" si="10"/>
        <v>1400</v>
      </c>
      <c r="G82" s="11">
        <v>0</v>
      </c>
      <c r="H82" s="11">
        <v>1</v>
      </c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5">
      <c r="A83" s="11" t="s">
        <v>24</v>
      </c>
      <c r="B83" s="12">
        <v>8.8223464586090622E-2</v>
      </c>
      <c r="C83" s="11">
        <v>300</v>
      </c>
      <c r="D83" s="11">
        <f t="shared" si="9"/>
        <v>2.9407821528696873E-4</v>
      </c>
      <c r="E83" s="12">
        <f t="shared" si="10"/>
        <v>0.58833455212238306</v>
      </c>
      <c r="F83" s="11">
        <f t="shared" si="10"/>
        <v>1700</v>
      </c>
      <c r="G83" s="11">
        <v>1000</v>
      </c>
      <c r="H83" s="1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5">
      <c r="A84" s="4" t="s">
        <v>37</v>
      </c>
      <c r="B84" s="5">
        <v>0.28510872669121401</v>
      </c>
      <c r="C84" s="4">
        <v>180</v>
      </c>
      <c r="D84" s="4">
        <f>B84/C84</f>
        <v>1.5839373705067445E-3</v>
      </c>
      <c r="E84" s="5">
        <f t="shared" si="10"/>
        <v>0.87344327881359707</v>
      </c>
      <c r="F84" s="4">
        <f>F83+C84</f>
        <v>1880</v>
      </c>
      <c r="G84" s="11"/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5">
      <c r="A85" s="4" t="s">
        <v>25</v>
      </c>
      <c r="B85" s="5">
        <v>8.6995696526212835E-2</v>
      </c>
      <c r="C85" s="4">
        <v>100</v>
      </c>
      <c r="D85" s="4">
        <f t="shared" si="9"/>
        <v>8.6995696526212833E-4</v>
      </c>
      <c r="E85" s="5">
        <f t="shared" si="10"/>
        <v>0.96043897533980993</v>
      </c>
      <c r="F85" s="4">
        <f t="shared" si="10"/>
        <v>1980</v>
      </c>
      <c r="G85" s="11"/>
      <c r="H85" s="1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5">
      <c r="A86" s="1" t="s">
        <v>39</v>
      </c>
      <c r="B86" s="12">
        <v>3.956102466019E-2</v>
      </c>
      <c r="C86" s="11">
        <v>200</v>
      </c>
      <c r="D86" s="11">
        <f t="shared" si="9"/>
        <v>1.9780512330095E-4</v>
      </c>
      <c r="E86" s="12">
        <f>E85+B86</f>
        <v>0.99999999999999989</v>
      </c>
      <c r="F86" s="11">
        <f t="shared" si="10"/>
        <v>2180</v>
      </c>
      <c r="G86" s="12">
        <v>3.9561024660190049E-2</v>
      </c>
      <c r="H86" s="11">
        <v>200</v>
      </c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5">
      <c r="A87" s="1"/>
      <c r="B87" s="1"/>
      <c r="C87" s="1"/>
      <c r="D87" s="1"/>
      <c r="E87" s="1"/>
      <c r="F87" s="1"/>
      <c r="G87" s="3">
        <v>8.6995696526212835E-2</v>
      </c>
      <c r="H87" s="1">
        <v>300</v>
      </c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 s="1"/>
      <c r="B88" s="1"/>
      <c r="C88" s="1"/>
      <c r="D88" s="1"/>
      <c r="E88" s="1"/>
      <c r="F88" s="1"/>
      <c r="G88" s="3">
        <v>0.11767131551747623</v>
      </c>
      <c r="H88" s="1">
        <v>700</v>
      </c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5">
      <c r="A89" s="1"/>
      <c r="B89" s="3"/>
      <c r="C89" s="1"/>
      <c r="D89" s="1"/>
      <c r="E89" s="1"/>
      <c r="F89" s="1"/>
      <c r="G89" s="3">
        <v>0.16975767501246852</v>
      </c>
      <c r="H89" s="1">
        <v>1000</v>
      </c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5">
      <c r="A90" s="1"/>
      <c r="B90" s="3"/>
      <c r="C90" s="1"/>
      <c r="D90" s="1"/>
      <c r="E90" s="1"/>
      <c r="F90" s="1"/>
      <c r="G90" s="3">
        <v>0.21268209700634769</v>
      </c>
      <c r="H90" s="1">
        <v>1700</v>
      </c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5">
      <c r="A91" s="1">
        <v>0.23100000000000001</v>
      </c>
      <c r="B91" s="3">
        <v>7.1999999999999995E-2</v>
      </c>
      <c r="C91" s="1">
        <v>0.04</v>
      </c>
      <c r="D91" s="1">
        <v>4.5999999999999999E-2</v>
      </c>
      <c r="E91" s="1">
        <v>5.1999999999999998E-2</v>
      </c>
      <c r="F91" s="1">
        <v>3.2000000000000001E-2</v>
      </c>
      <c r="G91" s="3">
        <v>0.28510872669121401</v>
      </c>
      <c r="H91" s="1">
        <v>1880</v>
      </c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1">
        <v>0.23100000000000001</v>
      </c>
      <c r="B92" s="3">
        <v>3.5000000000000003E-2</v>
      </c>
      <c r="C92" s="1">
        <v>0.32400000000000001</v>
      </c>
      <c r="D92" s="1">
        <v>0.36799999999999999</v>
      </c>
      <c r="E92" s="1">
        <v>0.187</v>
      </c>
      <c r="F92" s="1">
        <v>0.28999999999999998</v>
      </c>
      <c r="G92" s="1">
        <v>1</v>
      </c>
      <c r="H92" s="1">
        <v>2180</v>
      </c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1">
        <v>0.23100000000000001</v>
      </c>
      <c r="B93" s="3">
        <v>0.28299999999999997</v>
      </c>
      <c r="C93" s="1">
        <v>0.16800000000000001</v>
      </c>
      <c r="D93" s="6">
        <v>4.5999999999999999E-2</v>
      </c>
      <c r="E93" s="1">
        <v>0.187</v>
      </c>
      <c r="F93" s="1">
        <v>0.28999999999999998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1">
        <v>2.5999999999999999E-2</v>
      </c>
      <c r="B94" s="3">
        <v>0.28299999999999997</v>
      </c>
      <c r="C94" s="1">
        <v>2.1000000000000001E-2</v>
      </c>
      <c r="D94" s="1">
        <v>8.8999999999999996E-2</v>
      </c>
      <c r="E94" s="1">
        <v>0.187</v>
      </c>
      <c r="F94" s="1">
        <v>0.28999999999999998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1">
        <v>0.23100000000000001</v>
      </c>
      <c r="B95" s="3">
        <v>0.14599999999999999</v>
      </c>
      <c r="C95" s="1">
        <v>0.32400000000000001</v>
      </c>
      <c r="D95" s="1">
        <v>0.18099999999999999</v>
      </c>
      <c r="E95" s="1">
        <v>0.187</v>
      </c>
      <c r="F95" s="1">
        <v>3.2000000000000001E-2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1">
        <v>2.5999999999999999E-2</v>
      </c>
      <c r="B96" s="1">
        <v>0.14599999999999999</v>
      </c>
      <c r="C96" s="1">
        <v>0.04</v>
      </c>
      <c r="D96" s="1">
        <v>8.8999999999999996E-2</v>
      </c>
      <c r="E96" s="1">
        <v>0.187</v>
      </c>
      <c r="F96" s="1">
        <v>3.2000000000000001E-2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1">
        <v>2.5999999999999999E-2</v>
      </c>
      <c r="B97" s="1">
        <v>3.5000000000000003E-2</v>
      </c>
      <c r="C97" s="1">
        <v>8.2000000000000003E-2</v>
      </c>
      <c r="D97" s="1">
        <v>0.18099999999999999</v>
      </c>
      <c r="E97" s="1">
        <v>1.4999999999999999E-2</v>
      </c>
      <c r="F97" s="1">
        <v>3.2000000000000001E-2</v>
      </c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1">
        <f>SUM(A91:A97)</f>
        <v>1.002</v>
      </c>
      <c r="B98" s="1">
        <f t="shared" ref="B98:F98" si="11">SUM(B91:B97)</f>
        <v>1</v>
      </c>
      <c r="C98" s="1">
        <f t="shared" si="11"/>
        <v>0.999</v>
      </c>
      <c r="D98" s="1">
        <f t="shared" si="11"/>
        <v>1</v>
      </c>
      <c r="E98" s="1">
        <f t="shared" si="11"/>
        <v>1.002</v>
      </c>
      <c r="F98" s="1">
        <f t="shared" si="11"/>
        <v>0.998</v>
      </c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/>
      <c r="B99" s="1"/>
      <c r="C99" s="1"/>
      <c r="D99" s="1"/>
      <c r="E99" s="1"/>
      <c r="F99" s="1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/>
      <c r="B100" s="1"/>
      <c r="C100" s="1"/>
      <c r="D100" s="1"/>
      <c r="E100" s="1"/>
      <c r="F100" s="1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1"/>
      <c r="B101" s="1"/>
      <c r="C101" s="1"/>
      <c r="D101" s="1"/>
      <c r="E101" s="1"/>
      <c r="F101" s="1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5">
      <c r="A102" s="1"/>
      <c r="B102" s="1"/>
      <c r="C102" s="1"/>
      <c r="D102" s="1"/>
      <c r="E102" s="1"/>
      <c r="F102" s="1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500a5</dc:creator>
  <cp:lastModifiedBy>500a5</cp:lastModifiedBy>
  <dcterms:created xsi:type="dcterms:W3CDTF">2015-06-05T18:19:34Z</dcterms:created>
  <dcterms:modified xsi:type="dcterms:W3CDTF">2023-05-31T21:02:03Z</dcterms:modified>
</cp:coreProperties>
</file>