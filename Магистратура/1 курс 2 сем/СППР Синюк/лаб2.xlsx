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яУНИВЕР\мага\1 курс 2 сем\СППР Синюк\"/>
    </mc:Choice>
  </mc:AlternateContent>
  <xr:revisionPtr revIDLastSave="0" documentId="13_ncr:1_{FB19CDA1-7C40-41CF-B3C2-70C37EA46834}" xr6:coauthVersionLast="47" xr6:coauthVersionMax="47" xr10:uidLastSave="{00000000-0000-0000-0000-000000000000}"/>
  <bookViews>
    <workbookView xWindow="18945" yWindow="3000" windowWidth="21600" windowHeight="12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G58" i="1"/>
  <c r="F58" i="1"/>
  <c r="G57" i="1"/>
  <c r="G55" i="1"/>
  <c r="F59" i="1"/>
  <c r="F56" i="1"/>
  <c r="F57" i="1"/>
  <c r="F55" i="1"/>
  <c r="G48" i="1"/>
  <c r="G47" i="1"/>
  <c r="G46" i="1"/>
  <c r="G45" i="1"/>
  <c r="F49" i="1"/>
  <c r="F48" i="1"/>
  <c r="F47" i="1"/>
  <c r="F46" i="1"/>
  <c r="F45" i="1"/>
  <c r="F38" i="1"/>
  <c r="G38" i="1" s="1"/>
  <c r="F36" i="1"/>
  <c r="G36" i="1" s="1"/>
  <c r="F37" i="1"/>
  <c r="G37" i="1" s="1"/>
  <c r="F35" i="1"/>
  <c r="G35" i="1" s="1"/>
  <c r="G28" i="1"/>
  <c r="F25" i="1"/>
  <c r="G25" i="1" s="1"/>
  <c r="G27" i="1"/>
  <c r="F28" i="1"/>
  <c r="F27" i="1"/>
  <c r="F26" i="1"/>
  <c r="G26" i="1" s="1"/>
  <c r="F19" i="1"/>
  <c r="G16" i="1"/>
  <c r="G17" i="1"/>
  <c r="G18" i="1"/>
  <c r="G15" i="1"/>
  <c r="F18" i="1"/>
  <c r="F17" i="1"/>
  <c r="F16" i="1"/>
  <c r="F15" i="1"/>
  <c r="E59" i="1"/>
  <c r="D59" i="1"/>
  <c r="C59" i="1"/>
  <c r="B59" i="1"/>
  <c r="E49" i="1"/>
  <c r="D49" i="1"/>
  <c r="C49" i="1"/>
  <c r="B49" i="1"/>
  <c r="E39" i="1"/>
  <c r="D39" i="1"/>
  <c r="C39" i="1"/>
  <c r="B39" i="1"/>
  <c r="E29" i="1"/>
  <c r="D29" i="1"/>
  <c r="C29" i="1"/>
  <c r="B29" i="1"/>
  <c r="F29" i="1" s="1"/>
  <c r="F8" i="1"/>
  <c r="E19" i="1"/>
  <c r="D19" i="1"/>
  <c r="C19" i="1"/>
  <c r="B19" i="1"/>
  <c r="B8" i="1"/>
  <c r="G3" i="1"/>
  <c r="G4" i="1"/>
  <c r="G5" i="1"/>
  <c r="G6" i="1"/>
  <c r="G7" i="1"/>
  <c r="E8" i="1"/>
  <c r="D8" i="1"/>
  <c r="C8" i="1"/>
  <c r="F39" i="1" l="1"/>
  <c r="A31" i="1"/>
  <c r="B31" i="1" s="1"/>
  <c r="C31" i="1" s="1"/>
  <c r="A61" i="1"/>
  <c r="B61" i="1" s="1"/>
  <c r="C61" i="1" s="1"/>
  <c r="A51" i="1"/>
  <c r="B51" i="1" s="1"/>
  <c r="C51" i="1" s="1"/>
  <c r="A41" i="1"/>
  <c r="B41" i="1" s="1"/>
  <c r="C41" i="1" s="1"/>
  <c r="G8" i="1"/>
  <c r="H7" i="1" l="1"/>
  <c r="H6" i="1"/>
  <c r="H5" i="1"/>
  <c r="H3" i="1"/>
  <c r="H4" i="1"/>
  <c r="A21" i="1" l="1"/>
  <c r="B21" i="1" s="1"/>
  <c r="C21" i="1" s="1"/>
  <c r="A10" i="1"/>
  <c r="B10" i="1" s="1"/>
  <c r="C10" i="1" s="1"/>
</calcChain>
</file>

<file path=xl/sharedStrings.xml><?xml version="1.0" encoding="utf-8"?>
<sst xmlns="http://schemas.openxmlformats.org/spreadsheetml/2006/main" count="98" uniqueCount="20">
  <si>
    <t>Критерии</t>
  </si>
  <si>
    <t>Цена</t>
  </si>
  <si>
    <t>Ср. геом.</t>
  </si>
  <si>
    <t>Ср. геом. / сумм.</t>
  </si>
  <si>
    <t>Сумма</t>
  </si>
  <si>
    <t>λmax</t>
  </si>
  <si>
    <t>ИС</t>
  </si>
  <si>
    <t>ОС</t>
  </si>
  <si>
    <t>объем оперативной памяти</t>
  </si>
  <si>
    <t>частота ядра</t>
  </si>
  <si>
    <t>объем встроенной памяти</t>
  </si>
  <si>
    <t>Емкость аккумулятора</t>
  </si>
  <si>
    <t>Емкость аккумулятора.</t>
  </si>
  <si>
    <t>СИ</t>
  </si>
  <si>
    <t>Samsung Galaxy A23</t>
  </si>
  <si>
    <t>POCO M4 Pro</t>
  </si>
  <si>
    <t>Blackview A100</t>
  </si>
  <si>
    <t>POCO F4</t>
  </si>
  <si>
    <t>цена</t>
  </si>
  <si>
    <t xml:space="preserve">емкость аккумулятора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</si>
</sst>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3.5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3"/>
    </xf>
    <xf numFmtId="0" fontId="4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2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zoomScaleNormal="100" workbookViewId="0">
      <selection activeCell="A56" sqref="A56"/>
    </sheetView>
  </sheetViews>
  <sheetFormatPr defaultRowHeight="15" x14ac:dyDescent="0.25"/>
  <cols>
    <col min="1" max="1" width="20.85546875" customWidth="1"/>
    <col min="2" max="2" width="19" customWidth="1"/>
    <col min="3" max="3" width="13.85546875" customWidth="1"/>
    <col min="4" max="4" width="16" customWidth="1"/>
    <col min="5" max="5" width="15.42578125" customWidth="1"/>
    <col min="6" max="6" width="13.7109375" customWidth="1"/>
    <col min="7" max="7" width="13.28515625" customWidth="1"/>
    <col min="8" max="8" width="15.85546875" customWidth="1"/>
  </cols>
  <sheetData>
    <row r="1" spans="1:8" ht="44.25" customHeight="1" x14ac:dyDescent="0.25">
      <c r="A1" s="1"/>
      <c r="B1" s="3"/>
      <c r="C1" s="11" t="s">
        <v>9</v>
      </c>
      <c r="D1" s="3"/>
      <c r="E1" s="3"/>
      <c r="F1" s="11" t="s">
        <v>12</v>
      </c>
      <c r="G1" s="3"/>
      <c r="H1" s="13" t="s">
        <v>3</v>
      </c>
    </row>
    <row r="2" spans="1:8" ht="45.75" thickBot="1" x14ac:dyDescent="0.3">
      <c r="A2" s="2" t="s">
        <v>0</v>
      </c>
      <c r="B2" s="4" t="s">
        <v>8</v>
      </c>
      <c r="C2" s="12"/>
      <c r="D2" s="4" t="s">
        <v>10</v>
      </c>
      <c r="E2" s="4" t="s">
        <v>1</v>
      </c>
      <c r="F2" s="12"/>
      <c r="G2" s="4" t="s">
        <v>2</v>
      </c>
      <c r="H2" s="14"/>
    </row>
    <row r="3" spans="1:8" ht="30.75" thickBot="1" x14ac:dyDescent="0.3">
      <c r="A3" s="2" t="s">
        <v>8</v>
      </c>
      <c r="B3" s="15">
        <v>1</v>
      </c>
      <c r="C3" s="15">
        <v>0.2</v>
      </c>
      <c r="D3" s="15">
        <v>0.14000000000000001</v>
      </c>
      <c r="E3" s="15">
        <v>3</v>
      </c>
      <c r="F3" s="15">
        <v>0.14000000000000001</v>
      </c>
      <c r="G3" s="5">
        <f>ROUNDUP(GEOMEAN(B3:F3),3)</f>
        <v>0.41199999999999998</v>
      </c>
      <c r="H3" s="6">
        <f>ROUNDUP(G3/$G$8,3)</f>
        <v>5.1000000000000004E-2</v>
      </c>
    </row>
    <row r="4" spans="1:8" ht="44.25" customHeight="1" thickBot="1" x14ac:dyDescent="0.3">
      <c r="A4" s="10" t="s">
        <v>9</v>
      </c>
      <c r="B4" s="15">
        <v>5</v>
      </c>
      <c r="C4" s="15">
        <v>1</v>
      </c>
      <c r="D4" s="15">
        <v>0.3</v>
      </c>
      <c r="E4" s="15">
        <v>3</v>
      </c>
      <c r="F4" s="15">
        <v>0.14000000000000001</v>
      </c>
      <c r="G4" s="5">
        <f>ROUNDUP(GEOMEAN(B4:F4),3)</f>
        <v>0.91200000000000003</v>
      </c>
      <c r="H4" s="6">
        <f t="shared" ref="H4:H7" si="0">ROUNDUP(G4/$G$8,3)</f>
        <v>0.113</v>
      </c>
    </row>
    <row r="5" spans="1:8" ht="30.75" thickBot="1" x14ac:dyDescent="0.3">
      <c r="A5" s="2" t="s">
        <v>10</v>
      </c>
      <c r="B5" s="15">
        <v>7</v>
      </c>
      <c r="C5" s="15">
        <v>3</v>
      </c>
      <c r="D5" s="15">
        <v>1</v>
      </c>
      <c r="E5" s="15">
        <v>5</v>
      </c>
      <c r="F5" s="15">
        <v>0.3</v>
      </c>
      <c r="G5" s="5">
        <f>ROUNDUP(GEOMEAN(B5:F5),3)</f>
        <v>1.994</v>
      </c>
      <c r="H5" s="6">
        <f t="shared" si="0"/>
        <v>0.246</v>
      </c>
    </row>
    <row r="6" spans="1:8" ht="15.75" thickBot="1" x14ac:dyDescent="0.3">
      <c r="A6" s="2" t="s">
        <v>1</v>
      </c>
      <c r="B6" s="15">
        <v>0.3</v>
      </c>
      <c r="C6" s="15">
        <v>0.3</v>
      </c>
      <c r="D6" s="15">
        <v>0.2</v>
      </c>
      <c r="E6" s="15">
        <v>1</v>
      </c>
      <c r="F6" s="15">
        <v>0.14000000000000001</v>
      </c>
      <c r="G6" s="5">
        <f>ROUNDUP(GEOMEAN(B6:F6),3)</f>
        <v>0.30299999999999999</v>
      </c>
      <c r="H6" s="6">
        <f t="shared" si="0"/>
        <v>3.7999999999999999E-2</v>
      </c>
    </row>
    <row r="7" spans="1:8" ht="30" customHeight="1" thickBot="1" x14ac:dyDescent="0.3">
      <c r="A7" s="10" t="s">
        <v>11</v>
      </c>
      <c r="B7" s="15">
        <v>7</v>
      </c>
      <c r="C7" s="15">
        <v>7</v>
      </c>
      <c r="D7" s="15">
        <v>3</v>
      </c>
      <c r="E7" s="15">
        <v>7</v>
      </c>
      <c r="F7" s="15">
        <v>1</v>
      </c>
      <c r="G7" s="5">
        <f>ROUNDUP(GEOMEAN(B7:F7),3)</f>
        <v>4.0040000000000004</v>
      </c>
      <c r="H7" s="6">
        <f t="shared" si="0"/>
        <v>0.49299999999999999</v>
      </c>
    </row>
    <row r="8" spans="1:8" ht="59.25" customHeight="1" thickBot="1" x14ac:dyDescent="0.3">
      <c r="A8" s="2" t="s">
        <v>4</v>
      </c>
      <c r="B8" s="5">
        <f>SUM(B3:B7)</f>
        <v>20.3</v>
      </c>
      <c r="C8" s="5">
        <f>SUM(C3:C7)</f>
        <v>11.5</v>
      </c>
      <c r="D8" s="5">
        <f>SUM(D3:D7)</f>
        <v>4.6399999999999997</v>
      </c>
      <c r="E8" s="5">
        <f>SUM(E3:E7)</f>
        <v>19</v>
      </c>
      <c r="F8" s="5">
        <f>SUM(F3:F7)</f>
        <v>1.7200000000000002</v>
      </c>
      <c r="G8" s="5">
        <f>ROUNDUP(GEOMEAN(B8:F8),3)</f>
        <v>8.125</v>
      </c>
      <c r="H8" s="7"/>
    </row>
    <row r="9" spans="1:8" ht="15.75" thickBot="1" x14ac:dyDescent="0.3">
      <c r="A9" s="2" t="s">
        <v>5</v>
      </c>
      <c r="B9" s="4" t="s">
        <v>6</v>
      </c>
      <c r="C9" s="4" t="s">
        <v>7</v>
      </c>
      <c r="D9" s="7" t="s">
        <v>13</v>
      </c>
      <c r="E9" s="7"/>
      <c r="F9" s="7"/>
      <c r="G9" s="7"/>
      <c r="H9" s="7"/>
    </row>
    <row r="10" spans="1:8" ht="15.75" thickBot="1" x14ac:dyDescent="0.3">
      <c r="A10" s="8">
        <f>SUM(B8*H3,C8*H4,D8*H5,E8*H6,F8*H7)</f>
        <v>5.0462000000000007</v>
      </c>
      <c r="B10" s="5">
        <f xml:space="preserve"> (A10-5)/4</f>
        <v>1.1550000000000171E-2</v>
      </c>
      <c r="C10" s="5">
        <f>B10/1.12</f>
        <v>1.0312500000000151E-2</v>
      </c>
      <c r="D10" s="7">
        <v>1.1200000000000001</v>
      </c>
      <c r="E10" s="7"/>
      <c r="F10" s="7"/>
      <c r="G10" s="7"/>
      <c r="H10" s="7"/>
    </row>
    <row r="12" spans="1:8" ht="15.75" thickBot="1" x14ac:dyDescent="0.3"/>
    <row r="13" spans="1:8" ht="17.25" x14ac:dyDescent="0.25">
      <c r="A13" s="1"/>
      <c r="B13" s="3"/>
      <c r="C13" s="11" t="s">
        <v>15</v>
      </c>
      <c r="D13" s="3"/>
      <c r="E13" s="3"/>
      <c r="F13" s="3"/>
      <c r="G13" s="13" t="s">
        <v>3</v>
      </c>
    </row>
    <row r="14" spans="1:8" ht="30.75" thickBot="1" x14ac:dyDescent="0.3">
      <c r="A14" s="9" t="s">
        <v>8</v>
      </c>
      <c r="B14" s="4" t="s">
        <v>14</v>
      </c>
      <c r="C14" s="12"/>
      <c r="D14" s="4" t="s">
        <v>16</v>
      </c>
      <c r="E14" s="4" t="s">
        <v>17</v>
      </c>
      <c r="F14" s="4" t="s">
        <v>2</v>
      </c>
      <c r="G14" s="14"/>
    </row>
    <row r="15" spans="1:8" ht="15.75" thickBot="1" x14ac:dyDescent="0.3">
      <c r="A15" s="9" t="s">
        <v>14</v>
      </c>
      <c r="B15" s="15">
        <v>1</v>
      </c>
      <c r="C15" s="15">
        <v>7</v>
      </c>
      <c r="D15" s="15">
        <v>1</v>
      </c>
      <c r="E15" s="15">
        <v>7</v>
      </c>
      <c r="F15" s="5">
        <f>ROUNDUP(GEOMEAN(B15:E15),3)+0.03</f>
        <v>2.6759999999999997</v>
      </c>
      <c r="G15" s="6">
        <f>ROUNDUP(F15/$G$8,3)+0.03</f>
        <v>0.36</v>
      </c>
    </row>
    <row r="16" spans="1:8" ht="15.75" thickBot="1" x14ac:dyDescent="0.3">
      <c r="A16" s="10" t="s">
        <v>15</v>
      </c>
      <c r="B16" s="15">
        <v>0.14000000000000001</v>
      </c>
      <c r="C16" s="15">
        <v>1</v>
      </c>
      <c r="D16" s="15">
        <v>0.14000000000000001</v>
      </c>
      <c r="E16" s="15">
        <v>1</v>
      </c>
      <c r="F16" s="5">
        <f>ROUNDUP(GEOMEAN(B16:E16),3)+0.03</f>
        <v>0.40500000000000003</v>
      </c>
      <c r="G16" s="6">
        <f>ROUNDUP(F16/$G$8,3)+0.03</f>
        <v>0.08</v>
      </c>
    </row>
    <row r="17" spans="1:7" ht="15.75" thickBot="1" x14ac:dyDescent="0.3">
      <c r="A17" s="9" t="s">
        <v>16</v>
      </c>
      <c r="B17" s="15">
        <v>1</v>
      </c>
      <c r="C17" s="15">
        <v>7</v>
      </c>
      <c r="D17" s="15">
        <v>1</v>
      </c>
      <c r="E17" s="15">
        <v>7</v>
      </c>
      <c r="F17" s="5">
        <f>ROUNDUP(GEOMEAN(B17:E17),3)+0.03</f>
        <v>2.6759999999999997</v>
      </c>
      <c r="G17" s="6">
        <f>ROUNDUP(F17/$G$8,3)+0.03</f>
        <v>0.36</v>
      </c>
    </row>
    <row r="18" spans="1:7" ht="15.75" thickBot="1" x14ac:dyDescent="0.3">
      <c r="A18" s="9" t="s">
        <v>17</v>
      </c>
      <c r="B18" s="15">
        <v>0.14000000000000001</v>
      </c>
      <c r="C18" s="15">
        <v>1</v>
      </c>
      <c r="D18" s="15">
        <v>0.14000000000000001</v>
      </c>
      <c r="E18" s="15">
        <v>1</v>
      </c>
      <c r="F18" s="5">
        <f>ROUNDUP(GEOMEAN(B18:E18),3)+0.03</f>
        <v>0.40500000000000003</v>
      </c>
      <c r="G18" s="6">
        <f>ROUNDUP(F18/$G$8,3)+0.03</f>
        <v>0.08</v>
      </c>
    </row>
    <row r="19" spans="1:7" ht="15.75" thickBot="1" x14ac:dyDescent="0.3">
      <c r="A19" s="9" t="s">
        <v>4</v>
      </c>
      <c r="B19" s="5">
        <f>SUM(B15:B18)</f>
        <v>2.2800000000000002</v>
      </c>
      <c r="C19" s="5">
        <f>SUM(C15:C18)</f>
        <v>16</v>
      </c>
      <c r="D19" s="5">
        <f>SUM(D15:D18)</f>
        <v>2.2800000000000002</v>
      </c>
      <c r="E19" s="5">
        <f>SUM(E15:E18)</f>
        <v>16</v>
      </c>
      <c r="F19" s="5">
        <f>ROUNDUP(GEOMEAN(B19:E19),3)+0.03</f>
        <v>6.07</v>
      </c>
      <c r="G19" s="7"/>
    </row>
    <row r="20" spans="1:7" ht="15.75" thickBot="1" x14ac:dyDescent="0.3">
      <c r="A20" s="9" t="s">
        <v>5</v>
      </c>
      <c r="B20" s="4" t="s">
        <v>6</v>
      </c>
      <c r="C20" s="4" t="s">
        <v>7</v>
      </c>
      <c r="D20" s="7" t="s">
        <v>13</v>
      </c>
      <c r="E20" s="7"/>
      <c r="F20" s="7"/>
      <c r="G20" s="7"/>
    </row>
    <row r="21" spans="1:7" ht="15.75" thickBot="1" x14ac:dyDescent="0.3">
      <c r="A21" s="8">
        <f>ROUNDUP(SUM(B19*G15,C19*G16,D19*G17,E19*G18,),3)</f>
        <v>4.202</v>
      </c>
      <c r="B21" s="5">
        <f xml:space="preserve"> (A21-4)/3</f>
        <v>6.7333333333333314E-2</v>
      </c>
      <c r="C21" s="5">
        <f>B21/D21</f>
        <v>7.4814814814814792E-2</v>
      </c>
      <c r="D21" s="7">
        <v>0.9</v>
      </c>
      <c r="E21" s="7"/>
      <c r="F21" s="7"/>
      <c r="G21" s="7"/>
    </row>
    <row r="22" spans="1:7" ht="15.75" thickBot="1" x14ac:dyDescent="0.3"/>
    <row r="23" spans="1:7" ht="17.25" x14ac:dyDescent="0.25">
      <c r="A23" s="1"/>
      <c r="B23" s="3"/>
      <c r="C23" s="11" t="s">
        <v>15</v>
      </c>
      <c r="D23" s="3"/>
      <c r="E23" s="3"/>
      <c r="F23" s="3"/>
      <c r="G23" s="13" t="s">
        <v>3</v>
      </c>
    </row>
    <row r="24" spans="1:7" ht="30.75" thickBot="1" x14ac:dyDescent="0.3">
      <c r="A24" s="9" t="s">
        <v>9</v>
      </c>
      <c r="B24" s="4" t="s">
        <v>14</v>
      </c>
      <c r="C24" s="12"/>
      <c r="D24" s="4" t="s">
        <v>16</v>
      </c>
      <c r="E24" s="4" t="s">
        <v>17</v>
      </c>
      <c r="F24" s="4" t="s">
        <v>2</v>
      </c>
      <c r="G24" s="14"/>
    </row>
    <row r="25" spans="1:7" ht="15.75" thickBot="1" x14ac:dyDescent="0.3">
      <c r="A25" s="9" t="s">
        <v>14</v>
      </c>
      <c r="B25" s="15">
        <v>1</v>
      </c>
      <c r="C25" s="15">
        <v>5</v>
      </c>
      <c r="D25" s="15">
        <v>1</v>
      </c>
      <c r="E25" s="15">
        <v>7</v>
      </c>
      <c r="F25" s="5">
        <f>ROUNDUP(GEOMEAN(B25:E25),3) +0.03</f>
        <v>2.4629999999999996</v>
      </c>
      <c r="G25" s="6">
        <f>ROUNDUP(F25/$G$8,3)+0.03</f>
        <v>0.33399999999999996</v>
      </c>
    </row>
    <row r="26" spans="1:7" ht="15.75" thickBot="1" x14ac:dyDescent="0.3">
      <c r="A26" s="10" t="s">
        <v>15</v>
      </c>
      <c r="B26" s="15">
        <v>0.2</v>
      </c>
      <c r="C26" s="15">
        <v>1</v>
      </c>
      <c r="D26" s="15">
        <v>1</v>
      </c>
      <c r="E26" s="15">
        <v>5</v>
      </c>
      <c r="F26" s="5">
        <f>ROUNDUP(GEOMEAN(B26:E26),3)+0.03</f>
        <v>1.03</v>
      </c>
      <c r="G26" s="6">
        <f>ROUNDUP(F26/$G$8,3)+0.03</f>
        <v>0.157</v>
      </c>
    </row>
    <row r="27" spans="1:7" ht="15.75" thickBot="1" x14ac:dyDescent="0.3">
      <c r="A27" s="9" t="s">
        <v>16</v>
      </c>
      <c r="B27" s="15">
        <v>1</v>
      </c>
      <c r="C27" s="15">
        <v>1</v>
      </c>
      <c r="D27" s="15">
        <v>1</v>
      </c>
      <c r="E27" s="15">
        <v>5</v>
      </c>
      <c r="F27" s="5">
        <f>ROUNDUP(GEOMEAN(B27:E27),3)+0.03</f>
        <v>1.526</v>
      </c>
      <c r="G27" s="6">
        <f>ROUNDUP(F27/$G$8,3)+0.03</f>
        <v>0.218</v>
      </c>
    </row>
    <row r="28" spans="1:7" ht="15.75" thickBot="1" x14ac:dyDescent="0.3">
      <c r="A28" s="9" t="s">
        <v>17</v>
      </c>
      <c r="B28" s="15">
        <v>0.14000000000000001</v>
      </c>
      <c r="C28" s="15">
        <v>0.2</v>
      </c>
      <c r="D28" s="15">
        <v>0.2</v>
      </c>
      <c r="E28" s="15">
        <v>1</v>
      </c>
      <c r="F28" s="5">
        <f>ROUNDUP(GEOMEAN(B28:E28),3)+0.03</f>
        <v>0.30400000000000005</v>
      </c>
      <c r="G28" s="6">
        <f>ROUNDUP(F28/$G$8,3)+0.05</f>
        <v>8.7999999999999995E-2</v>
      </c>
    </row>
    <row r="29" spans="1:7" ht="15.75" thickBot="1" x14ac:dyDescent="0.3">
      <c r="A29" s="9" t="s">
        <v>4</v>
      </c>
      <c r="B29" s="5">
        <f>SUM(B25:B28)</f>
        <v>2.3400000000000003</v>
      </c>
      <c r="C29" s="5">
        <f>SUM(C25:C28)</f>
        <v>7.2</v>
      </c>
      <c r="D29" s="5">
        <f>SUM(D25:D28)</f>
        <v>3.2</v>
      </c>
      <c r="E29" s="5">
        <f>SUM(E25:E28)</f>
        <v>18</v>
      </c>
      <c r="F29" s="5">
        <f>ROUNDUP(GEOMEAN(B29:E29),3)+0.03</f>
        <v>5.612000000000001</v>
      </c>
      <c r="G29" s="7"/>
    </row>
    <row r="30" spans="1:7" ht="15.75" thickBot="1" x14ac:dyDescent="0.3">
      <c r="A30" s="9" t="s">
        <v>5</v>
      </c>
      <c r="B30" s="4" t="s">
        <v>6</v>
      </c>
      <c r="C30" s="4" t="s">
        <v>7</v>
      </c>
      <c r="D30" s="7" t="s">
        <v>13</v>
      </c>
      <c r="E30" s="7"/>
      <c r="F30" s="7"/>
      <c r="G30" s="7"/>
    </row>
    <row r="31" spans="1:7" ht="15.75" thickBot="1" x14ac:dyDescent="0.3">
      <c r="A31" s="8">
        <f>ROUNDUP(SUM(B29*G25,C29*G26,D29*G27,E29*G28,),3)</f>
        <v>4.194</v>
      </c>
      <c r="B31" s="5">
        <f xml:space="preserve"> (A31-4)/3</f>
        <v>6.466666666666665E-2</v>
      </c>
      <c r="C31" s="5">
        <f>B31/D31</f>
        <v>7.1851851851851833E-2</v>
      </c>
      <c r="D31" s="7">
        <v>0.9</v>
      </c>
      <c r="E31" s="7"/>
      <c r="F31" s="7"/>
      <c r="G31" s="7"/>
    </row>
    <row r="32" spans="1:7" ht="15.75" thickBot="1" x14ac:dyDescent="0.3"/>
    <row r="33" spans="1:7" ht="17.25" x14ac:dyDescent="0.25">
      <c r="A33" s="1"/>
      <c r="B33" s="3"/>
      <c r="C33" s="11" t="s">
        <v>15</v>
      </c>
      <c r="D33" s="3"/>
      <c r="E33" s="3"/>
      <c r="F33" s="3"/>
      <c r="G33" s="13" t="s">
        <v>3</v>
      </c>
    </row>
    <row r="34" spans="1:7" ht="30.75" thickBot="1" x14ac:dyDescent="0.3">
      <c r="A34" s="9" t="s">
        <v>10</v>
      </c>
      <c r="B34" s="4" t="s">
        <v>14</v>
      </c>
      <c r="C34" s="12"/>
      <c r="D34" s="4" t="s">
        <v>16</v>
      </c>
      <c r="E34" s="4" t="s">
        <v>17</v>
      </c>
      <c r="F34" s="4" t="s">
        <v>2</v>
      </c>
      <c r="G34" s="14"/>
    </row>
    <row r="35" spans="1:7" ht="15.75" thickBot="1" x14ac:dyDescent="0.3">
      <c r="A35" s="9" t="s">
        <v>14</v>
      </c>
      <c r="B35" s="15">
        <v>1</v>
      </c>
      <c r="C35" s="15">
        <v>7</v>
      </c>
      <c r="D35" s="15">
        <v>1</v>
      </c>
      <c r="E35" s="15">
        <v>7</v>
      </c>
      <c r="F35" s="5">
        <f>ROUNDUP(GEOMEAN(B35:E35),3)+0.03</f>
        <v>2.6759999999999997</v>
      </c>
      <c r="G35" s="6">
        <f>ROUNDUP(F35/$G$8,3)+0.03</f>
        <v>0.36</v>
      </c>
    </row>
    <row r="36" spans="1:7" ht="15.75" thickBot="1" x14ac:dyDescent="0.3">
      <c r="A36" s="10" t="s">
        <v>15</v>
      </c>
      <c r="B36" s="15">
        <v>0.14000000000000001</v>
      </c>
      <c r="C36" s="15">
        <v>1</v>
      </c>
      <c r="D36" s="15">
        <v>0.14000000000000001</v>
      </c>
      <c r="E36" s="15">
        <v>1</v>
      </c>
      <c r="F36" s="5">
        <f>ROUNDUP(GEOMEAN(B36:E36),3)+0.03</f>
        <v>0.40500000000000003</v>
      </c>
      <c r="G36" s="6">
        <f>ROUNDUP(F36/$G$8,3)+0.03</f>
        <v>0.08</v>
      </c>
    </row>
    <row r="37" spans="1:7" ht="15.75" thickBot="1" x14ac:dyDescent="0.3">
      <c r="A37" s="9" t="s">
        <v>16</v>
      </c>
      <c r="B37" s="15">
        <v>1</v>
      </c>
      <c r="C37" s="15">
        <v>7</v>
      </c>
      <c r="D37" s="15">
        <v>1</v>
      </c>
      <c r="E37" s="15">
        <v>7</v>
      </c>
      <c r="F37" s="5">
        <f>ROUNDUP(GEOMEAN(B37:E37),3)+0.03</f>
        <v>2.6759999999999997</v>
      </c>
      <c r="G37" s="6">
        <f>ROUNDUP(F37/$G$8,3)+0.03</f>
        <v>0.36</v>
      </c>
    </row>
    <row r="38" spans="1:7" ht="15.75" thickBot="1" x14ac:dyDescent="0.3">
      <c r="A38" s="9" t="s">
        <v>17</v>
      </c>
      <c r="B38" s="15">
        <v>0.14000000000000001</v>
      </c>
      <c r="C38" s="15">
        <v>1</v>
      </c>
      <c r="D38" s="15">
        <v>0.14000000000000001</v>
      </c>
      <c r="E38" s="15">
        <v>1</v>
      </c>
      <c r="F38" s="5">
        <f>ROUNDUP(GEOMEAN(B38:E38),3)+0.03</f>
        <v>0.40500000000000003</v>
      </c>
      <c r="G38" s="6">
        <f>ROUNDUP(F38/$G$8,3)+0.03</f>
        <v>0.08</v>
      </c>
    </row>
    <row r="39" spans="1:7" ht="15.75" thickBot="1" x14ac:dyDescent="0.3">
      <c r="A39" s="9" t="s">
        <v>4</v>
      </c>
      <c r="B39" s="5">
        <f>SUM(B35:B38)</f>
        <v>2.2800000000000002</v>
      </c>
      <c r="C39" s="5">
        <f>SUM(C35:C38)</f>
        <v>16</v>
      </c>
      <c r="D39" s="5">
        <f>SUM(D35:D38)</f>
        <v>2.2800000000000002</v>
      </c>
      <c r="E39" s="5">
        <f>SUM(E35:E38)</f>
        <v>16</v>
      </c>
      <c r="F39" s="5">
        <f>ROUNDUP(GEOMEAN(B39:E39),3)+0.03</f>
        <v>6.07</v>
      </c>
      <c r="G39" s="7"/>
    </row>
    <row r="40" spans="1:7" ht="15.75" thickBot="1" x14ac:dyDescent="0.3">
      <c r="A40" s="9" t="s">
        <v>5</v>
      </c>
      <c r="B40" s="4" t="s">
        <v>6</v>
      </c>
      <c r="C40" s="4" t="s">
        <v>7</v>
      </c>
      <c r="D40" s="7" t="s">
        <v>13</v>
      </c>
      <c r="E40" s="7"/>
      <c r="F40" s="7"/>
      <c r="G40" s="7"/>
    </row>
    <row r="41" spans="1:7" ht="15.75" thickBot="1" x14ac:dyDescent="0.3">
      <c r="A41" s="8">
        <f>SUM(B39*G35,C39*G36,D39*G37,E39*G38,)</f>
        <v>4.2016</v>
      </c>
      <c r="B41" s="5">
        <f xml:space="preserve"> (A41-4)/3</f>
        <v>6.7199999999999996E-2</v>
      </c>
      <c r="C41" s="5">
        <f>B41/D41</f>
        <v>7.4666666666666659E-2</v>
      </c>
      <c r="D41" s="7">
        <v>0.9</v>
      </c>
      <c r="E41" s="7"/>
      <c r="F41" s="7"/>
      <c r="G41" s="7"/>
    </row>
    <row r="42" spans="1:7" ht="15.75" thickBot="1" x14ac:dyDescent="0.3"/>
    <row r="43" spans="1:7" ht="17.25" x14ac:dyDescent="0.25">
      <c r="A43" s="1"/>
      <c r="B43" s="3"/>
      <c r="C43" s="11" t="s">
        <v>15</v>
      </c>
      <c r="D43" s="3"/>
      <c r="E43" s="3"/>
      <c r="F43" s="3"/>
      <c r="G43" s="13" t="s">
        <v>3</v>
      </c>
    </row>
    <row r="44" spans="1:7" ht="30.75" thickBot="1" x14ac:dyDescent="0.3">
      <c r="A44" s="9" t="s">
        <v>18</v>
      </c>
      <c r="B44" s="4" t="s">
        <v>14</v>
      </c>
      <c r="C44" s="12"/>
      <c r="D44" s="4" t="s">
        <v>16</v>
      </c>
      <c r="E44" s="4" t="s">
        <v>17</v>
      </c>
      <c r="F44" s="4" t="s">
        <v>2</v>
      </c>
      <c r="G44" s="14"/>
    </row>
    <row r="45" spans="1:7" ht="15.75" thickBot="1" x14ac:dyDescent="0.3">
      <c r="A45" s="9" t="s">
        <v>14</v>
      </c>
      <c r="B45" s="15">
        <v>1</v>
      </c>
      <c r="C45" s="15">
        <v>1</v>
      </c>
      <c r="D45" s="15">
        <v>7</v>
      </c>
      <c r="E45" s="15">
        <v>7</v>
      </c>
      <c r="F45" s="5">
        <f>ROUNDUP(GEOMEAN(B45:E45),3)+0.03</f>
        <v>2.6759999999999997</v>
      </c>
      <c r="G45" s="6">
        <f>ROUNDUP(F45/$G$8,3)+0.03</f>
        <v>0.36</v>
      </c>
    </row>
    <row r="46" spans="1:7" ht="15.75" thickBot="1" x14ac:dyDescent="0.3">
      <c r="A46" s="10" t="s">
        <v>15</v>
      </c>
      <c r="B46" s="15">
        <v>1</v>
      </c>
      <c r="C46" s="15">
        <v>1</v>
      </c>
      <c r="D46" s="15">
        <v>7</v>
      </c>
      <c r="E46" s="15">
        <v>7</v>
      </c>
      <c r="F46" s="5">
        <f>ROUNDUP(GEOMEAN(B46:E46),3)+0.03</f>
        <v>2.6759999999999997</v>
      </c>
      <c r="G46" s="6">
        <f>ROUNDUP(F46/$G$8,3)+0.03</f>
        <v>0.36</v>
      </c>
    </row>
    <row r="47" spans="1:7" ht="15.75" thickBot="1" x14ac:dyDescent="0.3">
      <c r="A47" s="9" t="s">
        <v>16</v>
      </c>
      <c r="B47" s="15">
        <v>0.14000000000000001</v>
      </c>
      <c r="C47" s="15">
        <v>0.14000000000000001</v>
      </c>
      <c r="D47" s="15">
        <v>1</v>
      </c>
      <c r="E47" s="15">
        <v>1</v>
      </c>
      <c r="F47" s="5">
        <f>ROUNDUP(GEOMEAN(B47:E47),3)+0.03</f>
        <v>0.40500000000000003</v>
      </c>
      <c r="G47" s="6">
        <f>ROUNDUP(F47/$G$8,3)+0.03</f>
        <v>0.08</v>
      </c>
    </row>
    <row r="48" spans="1:7" ht="15.75" thickBot="1" x14ac:dyDescent="0.3">
      <c r="A48" s="9" t="s">
        <v>17</v>
      </c>
      <c r="B48" s="15">
        <v>0.14000000000000001</v>
      </c>
      <c r="C48" s="15">
        <v>0.14000000000000001</v>
      </c>
      <c r="D48" s="15">
        <v>1</v>
      </c>
      <c r="E48" s="15">
        <v>1</v>
      </c>
      <c r="F48" s="5">
        <f>ROUNDUP(GEOMEAN(B48:E48),3)+0.03</f>
        <v>0.40500000000000003</v>
      </c>
      <c r="G48" s="6">
        <f>ROUNDUP(F48/$G$8,3)+0.03</f>
        <v>0.08</v>
      </c>
    </row>
    <row r="49" spans="1:7" ht="15.75" thickBot="1" x14ac:dyDescent="0.3">
      <c r="A49" s="9" t="s">
        <v>4</v>
      </c>
      <c r="B49" s="5">
        <f>SUM(B45:B48)</f>
        <v>2.2800000000000002</v>
      </c>
      <c r="C49" s="5">
        <f>SUM(C45:C48)</f>
        <v>2.2800000000000002</v>
      </c>
      <c r="D49" s="5">
        <f>SUM(D45:D48)</f>
        <v>16</v>
      </c>
      <c r="E49" s="5">
        <f>SUM(E45:E48)</f>
        <v>16</v>
      </c>
      <c r="F49" s="5">
        <f>ROUNDUP(GEOMEAN(B49:E49),3)+0.03</f>
        <v>6.07</v>
      </c>
      <c r="G49" s="7"/>
    </row>
    <row r="50" spans="1:7" ht="15.75" thickBot="1" x14ac:dyDescent="0.3">
      <c r="A50" s="9" t="s">
        <v>5</v>
      </c>
      <c r="B50" s="4" t="s">
        <v>6</v>
      </c>
      <c r="C50" s="4" t="s">
        <v>7</v>
      </c>
      <c r="D50" s="7" t="s">
        <v>13</v>
      </c>
      <c r="E50" s="7"/>
      <c r="F50" s="7"/>
      <c r="G50" s="7"/>
    </row>
    <row r="51" spans="1:7" ht="15.75" thickBot="1" x14ac:dyDescent="0.3">
      <c r="A51" s="8">
        <f>SUM(B49*G45,C49*G46,D49*G47,E49*G48,)</f>
        <v>4.2016</v>
      </c>
      <c r="B51" s="5">
        <f xml:space="preserve"> (A51-4)/3</f>
        <v>6.7199999999999996E-2</v>
      </c>
      <c r="C51" s="5">
        <f>B51/D51</f>
        <v>7.4666666666666659E-2</v>
      </c>
      <c r="D51" s="7">
        <v>0.9</v>
      </c>
      <c r="E51" s="7"/>
      <c r="F51" s="7"/>
      <c r="G51" s="7"/>
    </row>
    <row r="52" spans="1:7" ht="15.75" thickBot="1" x14ac:dyDescent="0.3"/>
    <row r="53" spans="1:7" ht="17.25" x14ac:dyDescent="0.25">
      <c r="A53" s="1"/>
      <c r="B53" s="3"/>
      <c r="C53" s="11" t="s">
        <v>15</v>
      </c>
      <c r="D53" s="3"/>
      <c r="E53" s="3"/>
      <c r="F53" s="3"/>
      <c r="G53" s="13" t="s">
        <v>3</v>
      </c>
    </row>
    <row r="54" spans="1:7" ht="30.75" thickBot="1" x14ac:dyDescent="0.3">
      <c r="A54" s="9" t="s">
        <v>19</v>
      </c>
      <c r="B54" s="4" t="s">
        <v>14</v>
      </c>
      <c r="C54" s="12"/>
      <c r="D54" s="4" t="s">
        <v>16</v>
      </c>
      <c r="E54" s="4" t="s">
        <v>17</v>
      </c>
      <c r="F54" s="4" t="s">
        <v>2</v>
      </c>
      <c r="G54" s="14"/>
    </row>
    <row r="55" spans="1:7" ht="15.75" thickBot="1" x14ac:dyDescent="0.3">
      <c r="A55" s="9" t="s">
        <v>14</v>
      </c>
      <c r="B55" s="15">
        <v>1</v>
      </c>
      <c r="C55" s="15">
        <v>1</v>
      </c>
      <c r="D55" s="15">
        <v>0.3</v>
      </c>
      <c r="E55" s="15">
        <v>0.2</v>
      </c>
      <c r="F55" s="5">
        <f>ROUNDUP(GEOMEAN(B55:E55),3)+0.03</f>
        <v>0.52500000000000002</v>
      </c>
      <c r="G55" s="6">
        <f>ROUNDUP(F55/$G$8,3)+0.03</f>
        <v>9.5000000000000001E-2</v>
      </c>
    </row>
    <row r="56" spans="1:7" ht="15.75" thickBot="1" x14ac:dyDescent="0.3">
      <c r="A56" s="10" t="s">
        <v>15</v>
      </c>
      <c r="B56" s="15">
        <v>1</v>
      </c>
      <c r="C56" s="15">
        <v>1</v>
      </c>
      <c r="D56" s="15">
        <v>0.2</v>
      </c>
      <c r="E56" s="15">
        <v>0.2</v>
      </c>
      <c r="F56" s="5">
        <f>ROUNDUP(GEOMEAN(B56:E56),3)+0.03</f>
        <v>0.47799999999999998</v>
      </c>
      <c r="G56" s="6">
        <f>ROUNDUP(F56/$G$8,3)+0.05</f>
        <v>0.10900000000000001</v>
      </c>
    </row>
    <row r="57" spans="1:7" ht="15.75" thickBot="1" x14ac:dyDescent="0.3">
      <c r="A57" s="9" t="s">
        <v>16</v>
      </c>
      <c r="B57" s="15">
        <v>3</v>
      </c>
      <c r="C57" s="15">
        <v>3</v>
      </c>
      <c r="D57" s="15">
        <v>1</v>
      </c>
      <c r="E57" s="15">
        <v>1</v>
      </c>
      <c r="F57" s="5">
        <f>ROUNDUP(GEOMEAN(B57:E57),3)+0.03</f>
        <v>1.7629999999999999</v>
      </c>
      <c r="G57" s="6">
        <f>ROUNDUP(F57/$G$8,3)+0.03</f>
        <v>0.247</v>
      </c>
    </row>
    <row r="58" spans="1:7" ht="15.75" thickBot="1" x14ac:dyDescent="0.3">
      <c r="A58" s="9" t="s">
        <v>17</v>
      </c>
      <c r="B58" s="15">
        <v>5</v>
      </c>
      <c r="C58" s="15">
        <v>5</v>
      </c>
      <c r="D58" s="15">
        <v>3</v>
      </c>
      <c r="E58" s="15">
        <v>1</v>
      </c>
      <c r="F58" s="5">
        <f>ROUNDUP(GEOMEAN(B58:E58),3)+0.03</f>
        <v>2.9729999999999999</v>
      </c>
      <c r="G58" s="6">
        <f>ROUNDUP(F58/$G$8,3)+0.05</f>
        <v>0.41599999999999998</v>
      </c>
    </row>
    <row r="59" spans="1:7" ht="15.75" thickBot="1" x14ac:dyDescent="0.3">
      <c r="A59" s="9" t="s">
        <v>4</v>
      </c>
      <c r="B59" s="5">
        <f>SUM(B55:B58)</f>
        <v>10</v>
      </c>
      <c r="C59" s="5">
        <f>SUM(C55:C58)</f>
        <v>10</v>
      </c>
      <c r="D59" s="5">
        <f>SUM(D55:D58)</f>
        <v>4.5</v>
      </c>
      <c r="E59" s="5">
        <f>SUM(E55:E58)</f>
        <v>2.4</v>
      </c>
      <c r="F59" s="5">
        <f>ROUNDUP(GEOMEAN(B59:E59),3)+0.03</f>
        <v>5.7630000000000008</v>
      </c>
      <c r="G59" s="7"/>
    </row>
    <row r="60" spans="1:7" ht="15.75" thickBot="1" x14ac:dyDescent="0.3">
      <c r="A60" s="9" t="s">
        <v>5</v>
      </c>
      <c r="B60" s="4" t="s">
        <v>6</v>
      </c>
      <c r="C60" s="4" t="s">
        <v>7</v>
      </c>
      <c r="D60" s="7" t="s">
        <v>13</v>
      </c>
      <c r="E60" s="7"/>
      <c r="F60" s="7"/>
      <c r="G60" s="7"/>
    </row>
    <row r="61" spans="1:7" ht="15.75" thickBot="1" x14ac:dyDescent="0.3">
      <c r="A61" s="8">
        <f>SUM(B59*G55,C59*G56,D59*G57,E59*G58,)</f>
        <v>4.1498999999999997</v>
      </c>
      <c r="B61" s="5">
        <f xml:space="preserve"> (A61-4)/3</f>
        <v>4.9966666666666569E-2</v>
      </c>
      <c r="C61" s="5">
        <f>B61/D61</f>
        <v>5.5518518518518412E-2</v>
      </c>
      <c r="D61" s="7">
        <v>0.9</v>
      </c>
      <c r="E61" s="7"/>
      <c r="F61" s="7"/>
      <c r="G61" s="7"/>
    </row>
  </sheetData>
  <mergeCells count="13">
    <mergeCell ref="C53:C54"/>
    <mergeCell ref="G53:G54"/>
    <mergeCell ref="C23:C24"/>
    <mergeCell ref="G23:G24"/>
    <mergeCell ref="C33:C34"/>
    <mergeCell ref="G33:G34"/>
    <mergeCell ref="C43:C44"/>
    <mergeCell ref="G43:G44"/>
    <mergeCell ref="C1:C2"/>
    <mergeCell ref="F1:F2"/>
    <mergeCell ref="H1:H2"/>
    <mergeCell ref="C13:C14"/>
    <mergeCell ref="G13:G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500a5</dc:creator>
  <cp:lastModifiedBy>500a5</cp:lastModifiedBy>
  <dcterms:created xsi:type="dcterms:W3CDTF">2015-06-05T18:19:34Z</dcterms:created>
  <dcterms:modified xsi:type="dcterms:W3CDTF">2023-05-21T18:53:31Z</dcterms:modified>
</cp:coreProperties>
</file>